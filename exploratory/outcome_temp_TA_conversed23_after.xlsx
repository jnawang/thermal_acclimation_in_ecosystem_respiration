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nawang/YaleLab/thermal_acclimation/data/"/>
    </mc:Choice>
  </mc:AlternateContent>
  <xr:revisionPtr revIDLastSave="0" documentId="13_ncr:1_{10D85759-F866-FF45-AFF7-0309373832CB}" xr6:coauthVersionLast="47" xr6:coauthVersionMax="47" xr10:uidLastSave="{00000000-0000-0000-0000-000000000000}"/>
  <bookViews>
    <workbookView xWindow="760" yWindow="1220" windowWidth="29480" windowHeight="16920" activeTab="1" xr2:uid="{00000000-000D-0000-FFFF-FFFF00000000}"/>
  </bookViews>
  <sheets>
    <sheet name="outcome_temp_TA_conversed23_aft" sheetId="1" r:id="rId1"/>
    <sheet name="direct TRS_TA_conver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</calcChain>
</file>

<file path=xl/sharedStrings.xml><?xml version="1.0" encoding="utf-8"?>
<sst xmlns="http://schemas.openxmlformats.org/spreadsheetml/2006/main" count="1062" uniqueCount="163">
  <si>
    <t>site_ID</t>
  </si>
  <si>
    <t>RMSE</t>
  </si>
  <si>
    <t>R2</t>
  </si>
  <si>
    <t>control_year</t>
  </si>
  <si>
    <t>window_size</t>
  </si>
  <si>
    <t>nwindow</t>
  </si>
  <si>
    <t>TAS</t>
  </si>
  <si>
    <t>TASp</t>
  </si>
  <si>
    <t>NA</t>
  </si>
  <si>
    <t>US-IB2</t>
  </si>
  <si>
    <t>US-Kon</t>
  </si>
  <si>
    <t>US-Bar</t>
  </si>
  <si>
    <t>CA-TP3</t>
  </si>
  <si>
    <t>CA-Gro</t>
  </si>
  <si>
    <t>CA-Obs</t>
  </si>
  <si>
    <t>CA-Ojp</t>
  </si>
  <si>
    <t>US-Jo2</t>
  </si>
  <si>
    <t>US-LL1</t>
  </si>
  <si>
    <t>US-BZB</t>
  </si>
  <si>
    <t>US-BZF</t>
  </si>
  <si>
    <t>US-KL2</t>
  </si>
  <si>
    <t>US-KM4</t>
  </si>
  <si>
    <t>US-MBP</t>
  </si>
  <si>
    <t>US-Myb</t>
  </si>
  <si>
    <t>US-NC4</t>
  </si>
  <si>
    <t>US-Tw1</t>
  </si>
  <si>
    <t>BE-Bra</t>
  </si>
  <si>
    <t>CH-Lae</t>
  </si>
  <si>
    <t>FI-Sod</t>
  </si>
  <si>
    <t>IT-Noe</t>
  </si>
  <si>
    <t>IT-Ren</t>
  </si>
  <si>
    <t>NL-Loo</t>
  </si>
  <si>
    <t>ZA-Kru</t>
  </si>
  <si>
    <t>GF-Guy</t>
  </si>
  <si>
    <t>DE-RuC</t>
  </si>
  <si>
    <t>DE-SfS</t>
  </si>
  <si>
    <t>CA-Mer</t>
  </si>
  <si>
    <t>US-BZS</t>
  </si>
  <si>
    <t>CA-Cbo</t>
  </si>
  <si>
    <t>US-Ha2</t>
  </si>
  <si>
    <t>US-CMW</t>
  </si>
  <si>
    <t>US-GLE</t>
  </si>
  <si>
    <t>US-Me2</t>
  </si>
  <si>
    <t>US-Syv</t>
  </si>
  <si>
    <t>US-ICt</t>
  </si>
  <si>
    <t>keep</t>
  </si>
  <si>
    <t>no</t>
  </si>
  <si>
    <t>Ts has problems, use TA</t>
  </si>
  <si>
    <t>TS two years are abnormal</t>
  </si>
  <si>
    <t>TS up and down. TA good</t>
  </si>
  <si>
    <t>TS data look normal</t>
  </si>
  <si>
    <t>TA may have some problems</t>
  </si>
  <si>
    <t>remove the first 4 years of TS data in US-Ict</t>
  </si>
  <si>
    <t>TS large variation</t>
  </si>
  <si>
    <t>abnormal TS, large variation</t>
  </si>
  <si>
    <t>TS look normal, but negative trend</t>
  </si>
  <si>
    <t xml:space="preserve">vally like variation. </t>
  </si>
  <si>
    <t>TS look normal, but low correlation between TA and TS</t>
  </si>
  <si>
    <t>TS look normal</t>
  </si>
  <si>
    <t>a few TA is wrong</t>
  </si>
  <si>
    <t>TS data has problem</t>
  </si>
  <si>
    <t>the first 2 year TS has problems</t>
  </si>
  <si>
    <t>the last 2 year TS has problems</t>
  </si>
  <si>
    <t>abnormal TS data</t>
  </si>
  <si>
    <t>large variation in TS</t>
  </si>
  <si>
    <t>last year TS is abnormal</t>
  </si>
  <si>
    <t>no sure why TS is not correlated to TA</t>
  </si>
  <si>
    <t>Too long time series</t>
  </si>
  <si>
    <t>two sections of TS data</t>
  </si>
  <si>
    <t>later section of data may have problems</t>
  </si>
  <si>
    <t>long data TS varied a lot</t>
  </si>
  <si>
    <t>long data, large variations</t>
  </si>
  <si>
    <t>bad TS data</t>
  </si>
  <si>
    <t>both are good, TA is better</t>
  </si>
  <si>
    <t>TS has some variations</t>
  </si>
  <si>
    <t>TS variations are damped, may be artifical effects</t>
  </si>
  <si>
    <t xml:space="preserve">TA has problem. First two years TS may have problems. </t>
  </si>
  <si>
    <t>TAS_tot</t>
  </si>
  <si>
    <t>TAS_totp</t>
  </si>
  <si>
    <t>US-Uaf</t>
  </si>
  <si>
    <t>CA-Ca3</t>
  </si>
  <si>
    <t>US-Ha1</t>
  </si>
  <si>
    <t>US-Var</t>
  </si>
  <si>
    <t>US-Ton</t>
  </si>
  <si>
    <t>US-Los</t>
  </si>
  <si>
    <t>US-Wkg</t>
  </si>
  <si>
    <t>US-SRM</t>
  </si>
  <si>
    <t>US-Ho1</t>
  </si>
  <si>
    <t>US-Ho2</t>
  </si>
  <si>
    <t>US-NR1</t>
  </si>
  <si>
    <t>US-WCr</t>
  </si>
  <si>
    <t>US-UMB</t>
  </si>
  <si>
    <t>US-MMS</t>
  </si>
  <si>
    <t>US-PFa</t>
  </si>
  <si>
    <t>US-Whs</t>
  </si>
  <si>
    <t>US-ICh</t>
  </si>
  <si>
    <t>US-ICs</t>
  </si>
  <si>
    <t>US-SRG</t>
  </si>
  <si>
    <t>US-MOz</t>
  </si>
  <si>
    <t>US-NC2</t>
  </si>
  <si>
    <t>CA-Oas</t>
  </si>
  <si>
    <t>CA-TP4</t>
  </si>
  <si>
    <t>CA-Man</t>
  </si>
  <si>
    <t>CA-LP1</t>
  </si>
  <si>
    <t>CA-Ca1</t>
  </si>
  <si>
    <t>US-MtB</t>
  </si>
  <si>
    <t>US-Ro4</t>
  </si>
  <si>
    <t>US-Ced</t>
  </si>
  <si>
    <t>US-Oho</t>
  </si>
  <si>
    <t>US-Slt</t>
  </si>
  <si>
    <t>US-Wrc</t>
  </si>
  <si>
    <t>AU-Tum</t>
  </si>
  <si>
    <t>BE-Vie</t>
  </si>
  <si>
    <t>CZ-BK1</t>
  </si>
  <si>
    <t>CZ-wet</t>
  </si>
  <si>
    <t>DE-Gri</t>
  </si>
  <si>
    <t>DE-Hai</t>
  </si>
  <si>
    <t>DE-Tha</t>
  </si>
  <si>
    <t>DK-Sor</t>
  </si>
  <si>
    <t>FI-Hyy</t>
  </si>
  <si>
    <t>FR-Pue</t>
  </si>
  <si>
    <t>IT-Lav</t>
  </si>
  <si>
    <t>IT-MBo</t>
  </si>
  <si>
    <t>IT-SRo</t>
  </si>
  <si>
    <t>RU-Fyo</t>
  </si>
  <si>
    <t>IT-Tor</t>
  </si>
  <si>
    <t>BE-Dor</t>
  </si>
  <si>
    <t>CH-Fru</t>
  </si>
  <si>
    <t>CZ-RAJ</t>
  </si>
  <si>
    <t>CZ-Stn</t>
  </si>
  <si>
    <t>DE-Obe</t>
  </si>
  <si>
    <t>DE-RuR</t>
  </si>
  <si>
    <t>CH-Aws</t>
  </si>
  <si>
    <t>ES-LJu</t>
  </si>
  <si>
    <t>FR-FBn</t>
  </si>
  <si>
    <t>FR-Fon</t>
  </si>
  <si>
    <t>IL-Yat</t>
  </si>
  <si>
    <t>SE-Deg</t>
  </si>
  <si>
    <t>IT-SR2</t>
  </si>
  <si>
    <t>CH-Dav</t>
  </si>
  <si>
    <t>DE-Akm</t>
  </si>
  <si>
    <t>DE-Hte</t>
  </si>
  <si>
    <t>DE-Hzd</t>
  </si>
  <si>
    <t>DE-RuW</t>
  </si>
  <si>
    <t>FR-Bil</t>
  </si>
  <si>
    <t>IT-TrF</t>
  </si>
  <si>
    <t>SE-Nor</t>
  </si>
  <si>
    <t>SE-Svb</t>
  </si>
  <si>
    <t>UK-AMo</t>
  </si>
  <si>
    <t>CA-TPD</t>
  </si>
  <si>
    <t>US-Cwt</t>
  </si>
  <si>
    <t>US-Rls</t>
  </si>
  <si>
    <t>US-Rws</t>
  </si>
  <si>
    <t>TAS_tot_TA</t>
  </si>
  <si>
    <t>TAS_totp_TA</t>
  </si>
  <si>
    <t>old result:</t>
  </si>
  <si>
    <t>TS_TA</t>
  </si>
  <si>
    <t>TAS_TA_convs</t>
  </si>
  <si>
    <t>TASp_TA_convs</t>
  </si>
  <si>
    <t>TAS_original</t>
  </si>
  <si>
    <t>TASp_original</t>
  </si>
  <si>
    <t>TAS_TA</t>
  </si>
  <si>
    <t>TASp_TA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</si>
</sst>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outcome_temp_TA_conversed23_aft!$M$1</c:f>
              <c:strCache>
                <c:ptCount val="1"/>
                <c:pt idx="0">
                  <c:v>TAS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510717410323707E-2"/>
                  <c:y val="-0.163539661708953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outcome_temp_TA_conversed23_aft!$G$2:$G$109</c:f>
              <c:numCache>
                <c:formatCode>General</c:formatCode>
                <c:ptCount val="108"/>
                <c:pt idx="2">
                  <c:v>1.1375384478244601E-2</c:v>
                </c:pt>
                <c:pt idx="4">
                  <c:v>2.1242249909973199E-2</c:v>
                </c:pt>
                <c:pt idx="10">
                  <c:v>-9.67957714896341E-2</c:v>
                </c:pt>
                <c:pt idx="13">
                  <c:v>-4.7346433458116698E-2</c:v>
                </c:pt>
                <c:pt idx="14">
                  <c:v>1.37803385804864E-2</c:v>
                </c:pt>
                <c:pt idx="20">
                  <c:v>5.6458433684375402E-3</c:v>
                </c:pt>
                <c:pt idx="26">
                  <c:v>8.1286258389562192E-3</c:v>
                </c:pt>
                <c:pt idx="27">
                  <c:v>-7.7108400018517903E-2</c:v>
                </c:pt>
                <c:pt idx="30">
                  <c:v>2.2454307881370799E-2</c:v>
                </c:pt>
                <c:pt idx="33">
                  <c:v>9.1416087550813593E-3</c:v>
                </c:pt>
                <c:pt idx="37">
                  <c:v>-2.0788174679279101E-2</c:v>
                </c:pt>
                <c:pt idx="38">
                  <c:v>-1.93013147795832E-2</c:v>
                </c:pt>
                <c:pt idx="39">
                  <c:v>1.15966371741308E-2</c:v>
                </c:pt>
                <c:pt idx="40">
                  <c:v>-0.104146303001874</c:v>
                </c:pt>
                <c:pt idx="42">
                  <c:v>-6.4575446890110504E-3</c:v>
                </c:pt>
                <c:pt idx="43">
                  <c:v>4.6867224404643797E-2</c:v>
                </c:pt>
                <c:pt idx="44">
                  <c:v>-3.6447151087773001E-2</c:v>
                </c:pt>
                <c:pt idx="45">
                  <c:v>-1.85317271743518E-3</c:v>
                </c:pt>
                <c:pt idx="47">
                  <c:v>1.2892865190489899E-3</c:v>
                </c:pt>
                <c:pt idx="48">
                  <c:v>5.67263133594302E-3</c:v>
                </c:pt>
                <c:pt idx="49">
                  <c:v>-1.0960362162156E-2</c:v>
                </c:pt>
                <c:pt idx="50">
                  <c:v>9.5769500054092099E-2</c:v>
                </c:pt>
                <c:pt idx="51">
                  <c:v>5.5711178029666398E-3</c:v>
                </c:pt>
                <c:pt idx="57">
                  <c:v>1.70217433313932E-2</c:v>
                </c:pt>
                <c:pt idx="59">
                  <c:v>5.6185574840972599E-2</c:v>
                </c:pt>
                <c:pt idx="67">
                  <c:v>5.2739247380477403E-3</c:v>
                </c:pt>
                <c:pt idx="70">
                  <c:v>4.8738376744977198E-2</c:v>
                </c:pt>
                <c:pt idx="71">
                  <c:v>8.63981246078626E-3</c:v>
                </c:pt>
                <c:pt idx="73">
                  <c:v>-2.5374014400188299E-2</c:v>
                </c:pt>
                <c:pt idx="75">
                  <c:v>-0.17197658518907399</c:v>
                </c:pt>
                <c:pt idx="87">
                  <c:v>-2.06287168073917E-2</c:v>
                </c:pt>
                <c:pt idx="95">
                  <c:v>2.53561774365147E-2</c:v>
                </c:pt>
                <c:pt idx="97">
                  <c:v>5.5551707468311201E-2</c:v>
                </c:pt>
                <c:pt idx="102">
                  <c:v>9.1962735173340596E-2</c:v>
                </c:pt>
                <c:pt idx="104">
                  <c:v>4.4920193449428901E-2</c:v>
                </c:pt>
              </c:numCache>
            </c:numRef>
          </c:xVal>
          <c:yVal>
            <c:numRef>
              <c:f>outcome_temp_TA_conversed23_aft!$M$2:$M$109</c:f>
              <c:numCache>
                <c:formatCode>General</c:formatCode>
                <c:ptCount val="108"/>
                <c:pt idx="0">
                  <c:v>2.24836611186511E-4</c:v>
                </c:pt>
                <c:pt idx="1">
                  <c:v>-3.3349255280671897E-2</c:v>
                </c:pt>
                <c:pt idx="2">
                  <c:v>1.09097783063626E-2</c:v>
                </c:pt>
                <c:pt idx="3">
                  <c:v>2.7096594959356901E-2</c:v>
                </c:pt>
                <c:pt idx="4">
                  <c:v>-1.5774629314773199E-2</c:v>
                </c:pt>
                <c:pt idx="5">
                  <c:v>-0.11454579378991001</c:v>
                </c:pt>
                <c:pt idx="6">
                  <c:v>-2.4441256353759301E-2</c:v>
                </c:pt>
                <c:pt idx="7">
                  <c:v>1.9531249718922099E-2</c:v>
                </c:pt>
                <c:pt idx="8">
                  <c:v>-0.17589537697235799</c:v>
                </c:pt>
                <c:pt idx="9">
                  <c:v>-0.135723154540625</c:v>
                </c:pt>
                <c:pt idx="10">
                  <c:v>-8.3299455386903296E-2</c:v>
                </c:pt>
                <c:pt idx="11">
                  <c:v>2.1021446181143901E-2</c:v>
                </c:pt>
                <c:pt idx="12">
                  <c:v>-3.7340229589220499E-3</c:v>
                </c:pt>
                <c:pt idx="13">
                  <c:v>-3.25544874409004E-2</c:v>
                </c:pt>
                <c:pt idx="14">
                  <c:v>-3.2086091274209499E-2</c:v>
                </c:pt>
                <c:pt idx="15">
                  <c:v>-3.73835459743894E-2</c:v>
                </c:pt>
                <c:pt idx="16">
                  <c:v>1.7681097629632499E-2</c:v>
                </c:pt>
                <c:pt idx="17">
                  <c:v>-4.4243926611218804E-3</c:v>
                </c:pt>
                <c:pt idx="18">
                  <c:v>-2.5500571138561998E-2</c:v>
                </c:pt>
                <c:pt idx="19">
                  <c:v>-1.9113592586199098E-2</c:v>
                </c:pt>
                <c:pt idx="20">
                  <c:v>-2.6807392002136301E-2</c:v>
                </c:pt>
                <c:pt idx="21">
                  <c:v>-0.17512408814274399</c:v>
                </c:pt>
                <c:pt idx="22">
                  <c:v>-0.22018847271126099</c:v>
                </c:pt>
                <c:pt idx="23">
                  <c:v>-3.2482386400391498E-3</c:v>
                </c:pt>
                <c:pt idx="24">
                  <c:v>-9.8592108595205504E-3</c:v>
                </c:pt>
                <c:pt idx="25">
                  <c:v>-8.8705600080354094E-2</c:v>
                </c:pt>
                <c:pt idx="26">
                  <c:v>-2.76096678051235E-2</c:v>
                </c:pt>
                <c:pt idx="27">
                  <c:v>-2.8731120591061001E-2</c:v>
                </c:pt>
                <c:pt idx="28">
                  <c:v>-6.1772428601959296E-3</c:v>
                </c:pt>
                <c:pt idx="29">
                  <c:v>-1.78341730754784E-2</c:v>
                </c:pt>
                <c:pt idx="30">
                  <c:v>-5.4760851682927297E-2</c:v>
                </c:pt>
                <c:pt idx="31">
                  <c:v>-7.5819971260982603E-3</c:v>
                </c:pt>
                <c:pt idx="32">
                  <c:v>-1.69322515748568E-2</c:v>
                </c:pt>
                <c:pt idx="33">
                  <c:v>-7.5094847102156304E-2</c:v>
                </c:pt>
                <c:pt idx="34">
                  <c:v>3.3842285011062297E-2</c:v>
                </c:pt>
                <c:pt idx="35">
                  <c:v>-3.5596370481390298E-2</c:v>
                </c:pt>
                <c:pt idx="36">
                  <c:v>2.90954429590276E-2</c:v>
                </c:pt>
                <c:pt idx="37">
                  <c:v>8.5559119392709694E-3</c:v>
                </c:pt>
                <c:pt idx="38">
                  <c:v>-4.0009961103505201E-2</c:v>
                </c:pt>
                <c:pt idx="39">
                  <c:v>-1.4045373498159E-2</c:v>
                </c:pt>
                <c:pt idx="40">
                  <c:v>-6.9754776564711005E-2</c:v>
                </c:pt>
                <c:pt idx="41">
                  <c:v>-5.0050128332722599E-2</c:v>
                </c:pt>
                <c:pt idx="42">
                  <c:v>-2.5496639125561899E-2</c:v>
                </c:pt>
                <c:pt idx="43">
                  <c:v>-4.8234400255588498E-2</c:v>
                </c:pt>
                <c:pt idx="44">
                  <c:v>-4.8835324000220698E-2</c:v>
                </c:pt>
                <c:pt idx="45">
                  <c:v>-3.5028030520222499E-2</c:v>
                </c:pt>
                <c:pt idx="46">
                  <c:v>-1.6911695042633599E-2</c:v>
                </c:pt>
                <c:pt idx="47">
                  <c:v>1.1233239541986901E-2</c:v>
                </c:pt>
                <c:pt idx="48">
                  <c:v>-6.1118426910003201E-2</c:v>
                </c:pt>
                <c:pt idx="49">
                  <c:v>7.51917868707693E-2</c:v>
                </c:pt>
                <c:pt idx="50">
                  <c:v>4.0995322928234004E-3</c:v>
                </c:pt>
                <c:pt idx="51">
                  <c:v>1.21897254479449E-2</c:v>
                </c:pt>
                <c:pt idx="52">
                  <c:v>7.72948994767625E-3</c:v>
                </c:pt>
                <c:pt idx="53">
                  <c:v>1.6902648044004698E-2</c:v>
                </c:pt>
                <c:pt idx="54">
                  <c:v>-7.3200307047576602E-3</c:v>
                </c:pt>
                <c:pt idx="55">
                  <c:v>1.8441777016018301E-2</c:v>
                </c:pt>
                <c:pt idx="56">
                  <c:v>-2.2343040585915699E-2</c:v>
                </c:pt>
                <c:pt idx="57">
                  <c:v>-3.6464918877672003E-2</c:v>
                </c:pt>
                <c:pt idx="58">
                  <c:v>1.56523994055556E-3</c:v>
                </c:pt>
                <c:pt idx="59">
                  <c:v>-3.69471021429826E-2</c:v>
                </c:pt>
                <c:pt idx="60">
                  <c:v>3.2772589572775103E-2</c:v>
                </c:pt>
                <c:pt idx="61">
                  <c:v>1.3277215833158299E-2</c:v>
                </c:pt>
                <c:pt idx="62">
                  <c:v>2.17209510537518E-2</c:v>
                </c:pt>
                <c:pt idx="63">
                  <c:v>-3.2939058965427898E-2</c:v>
                </c:pt>
                <c:pt idx="64">
                  <c:v>-1.07153240452977E-2</c:v>
                </c:pt>
                <c:pt idx="65">
                  <c:v>-2.8684423074325002E-2</c:v>
                </c:pt>
                <c:pt idx="66">
                  <c:v>-3.3487078390622101E-2</c:v>
                </c:pt>
                <c:pt idx="67">
                  <c:v>-5.7561417744709201E-2</c:v>
                </c:pt>
                <c:pt idx="68">
                  <c:v>1.6086664443475E-2</c:v>
                </c:pt>
                <c:pt idx="69">
                  <c:v>-2.7344657204328798E-2</c:v>
                </c:pt>
                <c:pt idx="70">
                  <c:v>5.4778837638479301E-2</c:v>
                </c:pt>
                <c:pt idx="71">
                  <c:v>-3.0933263527150399E-2</c:v>
                </c:pt>
                <c:pt idx="72">
                  <c:v>-3.53342549739405E-2</c:v>
                </c:pt>
                <c:pt idx="73">
                  <c:v>-3.3970049344032797E-2</c:v>
                </c:pt>
                <c:pt idx="74">
                  <c:v>-3.5865083832061002E-2</c:v>
                </c:pt>
                <c:pt idx="75">
                  <c:v>-0.152015734983833</c:v>
                </c:pt>
                <c:pt idx="76">
                  <c:v>-7.8059656494733204E-3</c:v>
                </c:pt>
                <c:pt idx="77">
                  <c:v>-4.2260005853769697E-3</c:v>
                </c:pt>
                <c:pt idx="78">
                  <c:v>4.2799513982723402E-3</c:v>
                </c:pt>
                <c:pt idx="79">
                  <c:v>1.6129068060005001E-2</c:v>
                </c:pt>
                <c:pt idx="80">
                  <c:v>-1.1656364672433899E-2</c:v>
                </c:pt>
                <c:pt idx="81">
                  <c:v>-3.4325364948702801E-3</c:v>
                </c:pt>
                <c:pt idx="82">
                  <c:v>7.82835145848239E-3</c:v>
                </c:pt>
                <c:pt idx="83" formatCode="0.00E+00">
                  <c:v>-2.3000251687740998E-5</c:v>
                </c:pt>
                <c:pt idx="84">
                  <c:v>-0.12836550090336199</c:v>
                </c:pt>
                <c:pt idx="85">
                  <c:v>6.4945928861914998E-2</c:v>
                </c:pt>
                <c:pt idx="86">
                  <c:v>4.5009023450462999E-3</c:v>
                </c:pt>
                <c:pt idx="87">
                  <c:v>4.0070093973103099E-2</c:v>
                </c:pt>
                <c:pt idx="88">
                  <c:v>-2.32180242195139E-2</c:v>
                </c:pt>
                <c:pt idx="89">
                  <c:v>2.1794424331023202E-2</c:v>
                </c:pt>
                <c:pt idx="90">
                  <c:v>6.4140555307833401E-3</c:v>
                </c:pt>
                <c:pt idx="91">
                  <c:v>-2.04139415459333E-2</c:v>
                </c:pt>
                <c:pt idx="92">
                  <c:v>2.9392314556638498E-2</c:v>
                </c:pt>
                <c:pt idx="93">
                  <c:v>8.4474012105428403E-2</c:v>
                </c:pt>
                <c:pt idx="94">
                  <c:v>-3.7547633882690702E-2</c:v>
                </c:pt>
                <c:pt idx="95">
                  <c:v>3.4030958174262403E-2</c:v>
                </c:pt>
                <c:pt idx="96">
                  <c:v>2.2336420723369999E-2</c:v>
                </c:pt>
                <c:pt idx="97">
                  <c:v>1.8899737879073401E-2</c:v>
                </c:pt>
                <c:pt idx="98">
                  <c:v>-5.6734322033445098E-2</c:v>
                </c:pt>
                <c:pt idx="99">
                  <c:v>-3.2289803833394901E-2</c:v>
                </c:pt>
                <c:pt idx="100">
                  <c:v>-2.3238666585628301E-2</c:v>
                </c:pt>
                <c:pt idx="101">
                  <c:v>7.3707524150407803E-4</c:v>
                </c:pt>
                <c:pt idx="102">
                  <c:v>-6.0097694280115799E-2</c:v>
                </c:pt>
                <c:pt idx="103">
                  <c:v>1.7172141538984099E-2</c:v>
                </c:pt>
                <c:pt idx="104">
                  <c:v>9.7394653490423699E-2</c:v>
                </c:pt>
                <c:pt idx="105">
                  <c:v>-3.2747477188709899E-2</c:v>
                </c:pt>
                <c:pt idx="106">
                  <c:v>-4.87408123052155E-2</c:v>
                </c:pt>
                <c:pt idx="107">
                  <c:v>-3.4126558470586599E-2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8-3647-B4EB-F35BD8C34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293760"/>
        <c:axId val="1520389728"/>
      </c:scatterChart>
      <c:valAx>
        <c:axId val="152029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89728"/>
        <c:crosses val="autoZero"/>
        <c:crossBetween val="midCat"/>
      </c:valAx>
      <c:valAx>
        <c:axId val="15203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29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outcome_temp_TA_conversed23_aft!$K$1</c:f>
              <c:strCache>
                <c:ptCount val="1"/>
                <c:pt idx="0">
                  <c:v>TAS_tot_TA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outcome_temp_TA_conversed23_aft!$I$2:$I$109</c:f>
              <c:numCache>
                <c:formatCode>General</c:formatCode>
                <c:ptCount val="108"/>
                <c:pt idx="0">
                  <c:v>2.24836611186511E-4</c:v>
                </c:pt>
                <c:pt idx="1">
                  <c:v>-3.3349255280671897E-2</c:v>
                </c:pt>
                <c:pt idx="2">
                  <c:v>1.1375384478244601E-2</c:v>
                </c:pt>
                <c:pt idx="3">
                  <c:v>2.7096594959356901E-2</c:v>
                </c:pt>
                <c:pt idx="4">
                  <c:v>2.1242249909973199E-2</c:v>
                </c:pt>
                <c:pt idx="5">
                  <c:v>-0.11454579378991001</c:v>
                </c:pt>
                <c:pt idx="6">
                  <c:v>-2.4441256353759301E-2</c:v>
                </c:pt>
                <c:pt idx="7">
                  <c:v>1.9531249718922099E-2</c:v>
                </c:pt>
                <c:pt idx="8">
                  <c:v>-0.17589537697235799</c:v>
                </c:pt>
                <c:pt idx="9">
                  <c:v>-0.135723154540625</c:v>
                </c:pt>
                <c:pt idx="10">
                  <c:v>-9.67957714896341E-2</c:v>
                </c:pt>
                <c:pt idx="11">
                  <c:v>2.1021446181143901E-2</c:v>
                </c:pt>
                <c:pt idx="12">
                  <c:v>-3.7340229589220499E-3</c:v>
                </c:pt>
                <c:pt idx="13">
                  <c:v>-4.7346433458116698E-2</c:v>
                </c:pt>
                <c:pt idx="14">
                  <c:v>-3.2086091274209499E-2</c:v>
                </c:pt>
                <c:pt idx="15">
                  <c:v>-3.73835459743894E-2</c:v>
                </c:pt>
                <c:pt idx="16">
                  <c:v>1.7681097629632499E-2</c:v>
                </c:pt>
                <c:pt idx="17">
                  <c:v>-4.4243926611218804E-3</c:v>
                </c:pt>
                <c:pt idx="18">
                  <c:v>-2.5500571138561998E-2</c:v>
                </c:pt>
                <c:pt idx="19">
                  <c:v>-1.9113592586199098E-2</c:v>
                </c:pt>
                <c:pt idx="20">
                  <c:v>-2.6807392002136301E-2</c:v>
                </c:pt>
                <c:pt idx="21">
                  <c:v>-0.17512408814274399</c:v>
                </c:pt>
                <c:pt idx="22">
                  <c:v>-8.870749E-2</c:v>
                </c:pt>
                <c:pt idx="23">
                  <c:v>-3.2482386400391498E-3</c:v>
                </c:pt>
                <c:pt idx="24">
                  <c:v>-9.8592108595205504E-3</c:v>
                </c:pt>
                <c:pt idx="25">
                  <c:v>-8.8705600080354094E-2</c:v>
                </c:pt>
                <c:pt idx="26">
                  <c:v>8.1286258389562192E-3</c:v>
                </c:pt>
                <c:pt idx="27">
                  <c:v>-7.7108400018517903E-2</c:v>
                </c:pt>
                <c:pt idx="28">
                  <c:v>-6.1772428601959296E-3</c:v>
                </c:pt>
                <c:pt idx="29">
                  <c:v>-1.78341730754784E-2</c:v>
                </c:pt>
                <c:pt idx="30">
                  <c:v>2.2454307881370799E-2</c:v>
                </c:pt>
                <c:pt idx="31">
                  <c:v>-7.5819971260982603E-3</c:v>
                </c:pt>
                <c:pt idx="32">
                  <c:v>-1.69322515748568E-2</c:v>
                </c:pt>
                <c:pt idx="33">
                  <c:v>9.1416087550813593E-3</c:v>
                </c:pt>
                <c:pt idx="34">
                  <c:v>3.3842285011062297E-2</c:v>
                </c:pt>
                <c:pt idx="35">
                  <c:v>-3.5596370481390298E-2</c:v>
                </c:pt>
                <c:pt idx="36">
                  <c:v>2.90954429590276E-2</c:v>
                </c:pt>
                <c:pt idx="37">
                  <c:v>8.5559119392709694E-3</c:v>
                </c:pt>
                <c:pt idx="38">
                  <c:v>-1.93013147795832E-2</c:v>
                </c:pt>
                <c:pt idx="39">
                  <c:v>-1.4045373498159E-2</c:v>
                </c:pt>
                <c:pt idx="40">
                  <c:v>-0.104146303001874</c:v>
                </c:pt>
                <c:pt idx="41">
                  <c:v>-5.0050128332722599E-2</c:v>
                </c:pt>
                <c:pt idx="42">
                  <c:v>-6.4575446890110504E-3</c:v>
                </c:pt>
                <c:pt idx="43">
                  <c:v>4.6867224404643797E-2</c:v>
                </c:pt>
                <c:pt idx="44">
                  <c:v>-3.6447151087773001E-2</c:v>
                </c:pt>
                <c:pt idx="45">
                  <c:v>-1.85317271743518E-3</c:v>
                </c:pt>
                <c:pt idx="46">
                  <c:v>-1.6911695042633599E-2</c:v>
                </c:pt>
                <c:pt idx="47">
                  <c:v>1.1233239541986901E-2</c:v>
                </c:pt>
                <c:pt idx="48">
                  <c:v>5.67263133594302E-3</c:v>
                </c:pt>
                <c:pt idx="49">
                  <c:v>-1.0960362162156E-2</c:v>
                </c:pt>
                <c:pt idx="50">
                  <c:v>9.5769500054092099E-2</c:v>
                </c:pt>
                <c:pt idx="51">
                  <c:v>5.5711178029666398E-3</c:v>
                </c:pt>
                <c:pt idx="52">
                  <c:v>7.72948994767625E-3</c:v>
                </c:pt>
                <c:pt idx="53">
                  <c:v>1.6902648044004698E-2</c:v>
                </c:pt>
                <c:pt idx="54">
                  <c:v>-7.3200307047576602E-3</c:v>
                </c:pt>
                <c:pt idx="55">
                  <c:v>1.8441777016018301E-2</c:v>
                </c:pt>
                <c:pt idx="56">
                  <c:v>-2.2343040585915699E-2</c:v>
                </c:pt>
                <c:pt idx="57">
                  <c:v>1.70217433313932E-2</c:v>
                </c:pt>
                <c:pt idx="58">
                  <c:v>1.56523994055556E-3</c:v>
                </c:pt>
                <c:pt idx="59" formatCode="0.00E+00">
                  <c:v>5.6185574840972599E-2</c:v>
                </c:pt>
                <c:pt idx="60">
                  <c:v>3.2772589572775103E-2</c:v>
                </c:pt>
                <c:pt idx="61">
                  <c:v>1.3277215833158299E-2</c:v>
                </c:pt>
                <c:pt idx="62">
                  <c:v>2.17209510537518E-2</c:v>
                </c:pt>
                <c:pt idx="63">
                  <c:v>-3.2939058965427898E-2</c:v>
                </c:pt>
                <c:pt idx="64">
                  <c:v>-1.07153240452977E-2</c:v>
                </c:pt>
                <c:pt idx="65">
                  <c:v>-2.8684423074325002E-2</c:v>
                </c:pt>
                <c:pt idx="66">
                  <c:v>-3.3487078390622101E-2</c:v>
                </c:pt>
                <c:pt idx="67">
                  <c:v>5.2739247380477403E-3</c:v>
                </c:pt>
                <c:pt idx="68">
                  <c:v>1.6086664443475E-2</c:v>
                </c:pt>
                <c:pt idx="69">
                  <c:v>-2.7344657204328798E-2</c:v>
                </c:pt>
                <c:pt idx="70">
                  <c:v>5.4778837638479301E-2</c:v>
                </c:pt>
                <c:pt idx="71">
                  <c:v>8.63981246078626E-3</c:v>
                </c:pt>
                <c:pt idx="72">
                  <c:v>-3.53342549739405E-2</c:v>
                </c:pt>
                <c:pt idx="73">
                  <c:v>-2.5374014400188299E-2</c:v>
                </c:pt>
                <c:pt idx="74">
                  <c:v>-3.5865083832061002E-2</c:v>
                </c:pt>
                <c:pt idx="75">
                  <c:v>-0.152015734983833</c:v>
                </c:pt>
                <c:pt idx="76">
                  <c:v>-7.8059656494733204E-3</c:v>
                </c:pt>
                <c:pt idx="77">
                  <c:v>-4.2260005853769697E-3</c:v>
                </c:pt>
                <c:pt idx="78">
                  <c:v>4.2799513982723402E-3</c:v>
                </c:pt>
                <c:pt idx="79">
                  <c:v>1.6129068060005001E-2</c:v>
                </c:pt>
                <c:pt idx="80">
                  <c:v>-1.1656364672433899E-2</c:v>
                </c:pt>
                <c:pt idx="81">
                  <c:v>-3.4325364948702801E-3</c:v>
                </c:pt>
                <c:pt idx="82">
                  <c:v>7.82835145848239E-3</c:v>
                </c:pt>
                <c:pt idx="83">
                  <c:v>-2.3000251687740998E-5</c:v>
                </c:pt>
                <c:pt idx="84">
                  <c:v>-0.12836550090336199</c:v>
                </c:pt>
                <c:pt idx="85">
                  <c:v>6.4945928861914998E-2</c:v>
                </c:pt>
                <c:pt idx="86">
                  <c:v>4.5009023450462999E-3</c:v>
                </c:pt>
                <c:pt idx="87">
                  <c:v>-2.06287168073917E-2</c:v>
                </c:pt>
                <c:pt idx="88">
                  <c:v>-2.32180242195139E-2</c:v>
                </c:pt>
                <c:pt idx="89">
                  <c:v>2.1794424331023202E-2</c:v>
                </c:pt>
                <c:pt idx="90">
                  <c:v>6.4140555307833401E-3</c:v>
                </c:pt>
                <c:pt idx="91">
                  <c:v>-2.04139415459333E-2</c:v>
                </c:pt>
                <c:pt idx="92">
                  <c:v>2.9392314556638498E-2</c:v>
                </c:pt>
                <c:pt idx="93">
                  <c:v>8.4474012105428403E-2</c:v>
                </c:pt>
                <c:pt idx="94">
                  <c:v>-3.7547633882690702E-2</c:v>
                </c:pt>
                <c:pt idx="95">
                  <c:v>2.53561774365147E-2</c:v>
                </c:pt>
                <c:pt idx="96">
                  <c:v>2.2336420723369999E-2</c:v>
                </c:pt>
                <c:pt idx="97">
                  <c:v>5.5551707468311201E-2</c:v>
                </c:pt>
                <c:pt idx="98">
                  <c:v>-5.6734322033445098E-2</c:v>
                </c:pt>
                <c:pt idx="99">
                  <c:v>-3.2289803833394901E-2</c:v>
                </c:pt>
                <c:pt idx="100">
                  <c:v>-2.3238666585628301E-2</c:v>
                </c:pt>
                <c:pt idx="101">
                  <c:v>7.3707524150407803E-4</c:v>
                </c:pt>
                <c:pt idx="102">
                  <c:v>9.1962735173340596E-2</c:v>
                </c:pt>
                <c:pt idx="103">
                  <c:v>1.7172141538984099E-2</c:v>
                </c:pt>
                <c:pt idx="104">
                  <c:v>4.4920193449428901E-2</c:v>
                </c:pt>
                <c:pt idx="105">
                  <c:v>-3.2747477188709899E-2</c:v>
                </c:pt>
                <c:pt idx="106">
                  <c:v>-4.87408123052155E-2</c:v>
                </c:pt>
                <c:pt idx="107">
                  <c:v>-3.4126558470586599E-2</c:v>
                </c:pt>
              </c:numCache>
            </c:numRef>
          </c:xVal>
          <c:yVal>
            <c:numRef>
              <c:f>outcome_temp_TA_conversed23_aft!$K$2:$K$109</c:f>
              <c:numCache>
                <c:formatCode>General</c:formatCode>
                <c:ptCount val="108"/>
                <c:pt idx="0">
                  <c:v>9.4705831990140408E-3</c:v>
                </c:pt>
                <c:pt idx="1">
                  <c:v>-3.1895717195041799E-2</c:v>
                </c:pt>
                <c:pt idx="2">
                  <c:v>1.34821837884983E-2</c:v>
                </c:pt>
                <c:pt idx="3">
                  <c:v>1.89161545790901E-2</c:v>
                </c:pt>
                <c:pt idx="4">
                  <c:v>-4.6070149866274201E-4</c:v>
                </c:pt>
                <c:pt idx="5">
                  <c:v>-3.6486756491621697E-2</c:v>
                </c:pt>
                <c:pt idx="6">
                  <c:v>-1.13617517143897E-2</c:v>
                </c:pt>
                <c:pt idx="7">
                  <c:v>-1.6275858513676699E-3</c:v>
                </c:pt>
                <c:pt idx="8">
                  <c:v>-0.13927877040411801</c:v>
                </c:pt>
                <c:pt idx="9">
                  <c:v>-0.15839638667538999</c:v>
                </c:pt>
                <c:pt idx="10">
                  <c:v>-8.30048438816232E-2</c:v>
                </c:pt>
                <c:pt idx="11">
                  <c:v>-5.9784352514538402E-4</c:v>
                </c:pt>
                <c:pt idx="12">
                  <c:v>-2.52767728949171E-3</c:v>
                </c:pt>
                <c:pt idx="13">
                  <c:v>-2.08958669704222E-2</c:v>
                </c:pt>
                <c:pt idx="14">
                  <c:v>9.5154519340935398E-3</c:v>
                </c:pt>
                <c:pt idx="15">
                  <c:v>-1.16965727090484E-2</c:v>
                </c:pt>
                <c:pt idx="16">
                  <c:v>5.5737664152691498E-3</c:v>
                </c:pt>
                <c:pt idx="17">
                  <c:v>7.5677262595062397E-3</c:v>
                </c:pt>
                <c:pt idx="18">
                  <c:v>-1.7138964626454398E-2</c:v>
                </c:pt>
                <c:pt idx="19">
                  <c:v>-1.9186415640557002E-2</c:v>
                </c:pt>
                <c:pt idx="20">
                  <c:v>1.25513812279195E-4</c:v>
                </c:pt>
                <c:pt idx="21">
                  <c:v>-0.16493621021684099</c:v>
                </c:pt>
                <c:pt idx="22">
                  <c:v>-2.33776004718372E-2</c:v>
                </c:pt>
                <c:pt idx="23">
                  <c:v>1.8115943322038901E-2</c:v>
                </c:pt>
                <c:pt idx="24">
                  <c:v>2.63182628513106E-2</c:v>
                </c:pt>
                <c:pt idx="25">
                  <c:v>-9.2550865363367693E-2</c:v>
                </c:pt>
                <c:pt idx="26">
                  <c:v>5.8021538153472203E-3</c:v>
                </c:pt>
                <c:pt idx="27">
                  <c:v>-4.9499314443252597E-2</c:v>
                </c:pt>
                <c:pt idx="28">
                  <c:v>-1.29255582301429E-2</c:v>
                </c:pt>
                <c:pt idx="29">
                  <c:v>7.7965419743630804E-3</c:v>
                </c:pt>
                <c:pt idx="30">
                  <c:v>1.26793444541711E-2</c:v>
                </c:pt>
                <c:pt idx="31">
                  <c:v>-5.4368781460257295E-4</c:v>
                </c:pt>
                <c:pt idx="32">
                  <c:v>1.35180771264145E-2</c:v>
                </c:pt>
                <c:pt idx="33">
                  <c:v>5.0458317343443602E-3</c:v>
                </c:pt>
                <c:pt idx="34">
                  <c:v>2.00778735301622E-3</c:v>
                </c:pt>
                <c:pt idx="35">
                  <c:v>-6.1274779356678701E-4</c:v>
                </c:pt>
                <c:pt idx="36">
                  <c:v>3.4229799962499599E-2</c:v>
                </c:pt>
                <c:pt idx="37">
                  <c:v>-8.7853448653866205E-3</c:v>
                </c:pt>
                <c:pt idx="38">
                  <c:v>-8.4355925199811194E-3</c:v>
                </c:pt>
                <c:pt idx="39">
                  <c:v>2.7515549201742699E-3</c:v>
                </c:pt>
                <c:pt idx="40">
                  <c:v>-0.112268804369032</c:v>
                </c:pt>
                <c:pt idx="41">
                  <c:v>-7.1079618855241803E-3</c:v>
                </c:pt>
                <c:pt idx="42">
                  <c:v>-5.9023922687770304E-3</c:v>
                </c:pt>
                <c:pt idx="43">
                  <c:v>6.8568853161698898E-3</c:v>
                </c:pt>
                <c:pt idx="44">
                  <c:v>-6.7916003803150595E-4</c:v>
                </c:pt>
                <c:pt idx="45">
                  <c:v>-2.9569629073579701E-4</c:v>
                </c:pt>
                <c:pt idx="46">
                  <c:v>-1.73870317345278E-2</c:v>
                </c:pt>
                <c:pt idx="47">
                  <c:v>3.5385508656570201E-4</c:v>
                </c:pt>
                <c:pt idx="48">
                  <c:v>-8.9616122156653197E-4</c:v>
                </c:pt>
                <c:pt idx="49">
                  <c:v>-2.39589836891228E-2</c:v>
                </c:pt>
                <c:pt idx="50">
                  <c:v>4.9155980456250303E-2</c:v>
                </c:pt>
                <c:pt idx="51">
                  <c:v>-1.45140037231168E-2</c:v>
                </c:pt>
                <c:pt idx="52">
                  <c:v>-6.2030988044271297E-3</c:v>
                </c:pt>
                <c:pt idx="53">
                  <c:v>2.2355670199405601E-2</c:v>
                </c:pt>
                <c:pt idx="54">
                  <c:v>-8.0880758742706005E-3</c:v>
                </c:pt>
                <c:pt idx="55">
                  <c:v>-2.3126036726920001E-3</c:v>
                </c:pt>
                <c:pt idx="56">
                  <c:v>-1.92490620291224E-2</c:v>
                </c:pt>
                <c:pt idx="57">
                  <c:v>6.7749695580495003E-3</c:v>
                </c:pt>
                <c:pt idx="58">
                  <c:v>6.7771971356451804E-3</c:v>
                </c:pt>
                <c:pt idx="59">
                  <c:v>3.8563780516366997E-2</c:v>
                </c:pt>
                <c:pt idx="60">
                  <c:v>7.2083186811127704E-3</c:v>
                </c:pt>
                <c:pt idx="61">
                  <c:v>3.4922533600627297E-2</c:v>
                </c:pt>
                <c:pt idx="62">
                  <c:v>9.7097297971029707E-3</c:v>
                </c:pt>
                <c:pt idx="63">
                  <c:v>-1.6066346828049999E-2</c:v>
                </c:pt>
                <c:pt idx="64">
                  <c:v>4.77621540126581E-3</c:v>
                </c:pt>
                <c:pt idx="65">
                  <c:v>-1.3628730911703E-2</c:v>
                </c:pt>
                <c:pt idx="66">
                  <c:v>-6.2890216089837199E-3</c:v>
                </c:pt>
                <c:pt idx="67">
                  <c:v>3.5175301240035401E-3</c:v>
                </c:pt>
                <c:pt idx="68">
                  <c:v>7.6171272776792602E-3</c:v>
                </c:pt>
                <c:pt idx="69">
                  <c:v>-1.54458003602103E-2</c:v>
                </c:pt>
                <c:pt idx="70">
                  <c:v>5.2118840542089602E-2</c:v>
                </c:pt>
                <c:pt idx="71">
                  <c:v>-3.4309797300837602E-3</c:v>
                </c:pt>
                <c:pt idx="72">
                  <c:v>-7.2885608751574E-3</c:v>
                </c:pt>
                <c:pt idx="73">
                  <c:v>-1.6419037075487301E-2</c:v>
                </c:pt>
                <c:pt idx="74">
                  <c:v>4.8924578436884204E-4</c:v>
                </c:pt>
                <c:pt idx="75">
                  <c:v>-0.16333931786314801</c:v>
                </c:pt>
                <c:pt idx="76">
                  <c:v>-3.00019558200799E-2</c:v>
                </c:pt>
                <c:pt idx="77">
                  <c:v>1.2088606342723801E-2</c:v>
                </c:pt>
                <c:pt idx="78">
                  <c:v>1.1357042541991101E-2</c:v>
                </c:pt>
                <c:pt idx="79">
                  <c:v>-2.7433853425824798E-3</c:v>
                </c:pt>
                <c:pt idx="80">
                  <c:v>3.0299097233749302E-3</c:v>
                </c:pt>
                <c:pt idx="81">
                  <c:v>4.4461366146639801E-3</c:v>
                </c:pt>
                <c:pt idx="82">
                  <c:v>8.7406880795444595E-3</c:v>
                </c:pt>
                <c:pt idx="83">
                  <c:v>2.28148695441154E-2</c:v>
                </c:pt>
                <c:pt idx="84">
                  <c:v>-4.9503126083206901E-2</c:v>
                </c:pt>
                <c:pt idx="85">
                  <c:v>3.6657912314303903E-2</c:v>
                </c:pt>
                <c:pt idx="86">
                  <c:v>2.8539763521108199E-3</c:v>
                </c:pt>
                <c:pt idx="87">
                  <c:v>-1.05195229573052E-2</c:v>
                </c:pt>
                <c:pt idx="88">
                  <c:v>1.6400952371061601E-2</c:v>
                </c:pt>
                <c:pt idx="89">
                  <c:v>1.6711404361148499E-2</c:v>
                </c:pt>
                <c:pt idx="90">
                  <c:v>-2.1644265571308E-2</c:v>
                </c:pt>
                <c:pt idx="91">
                  <c:v>-1.3428638540392401E-2</c:v>
                </c:pt>
                <c:pt idx="92">
                  <c:v>2.2207512934124801E-2</c:v>
                </c:pt>
                <c:pt idx="93">
                  <c:v>4.73438291414571E-2</c:v>
                </c:pt>
                <c:pt idx="94">
                  <c:v>-3.4249946836221401E-2</c:v>
                </c:pt>
                <c:pt idx="95">
                  <c:v>1.9808024150198601E-2</c:v>
                </c:pt>
                <c:pt idx="96">
                  <c:v>9.9613412402503095E-3</c:v>
                </c:pt>
                <c:pt idx="97">
                  <c:v>1.81533091410713E-2</c:v>
                </c:pt>
                <c:pt idx="98">
                  <c:v>-4.1509456823949402E-2</c:v>
                </c:pt>
                <c:pt idx="99">
                  <c:v>-2.38461182201271E-2</c:v>
                </c:pt>
                <c:pt idx="100">
                  <c:v>-5.3707212473374198E-3</c:v>
                </c:pt>
                <c:pt idx="101">
                  <c:v>1.28929240050291E-2</c:v>
                </c:pt>
                <c:pt idx="102">
                  <c:v>2.43756893988753E-2</c:v>
                </c:pt>
                <c:pt idx="103">
                  <c:v>1.69507977277484E-2</c:v>
                </c:pt>
                <c:pt idx="104">
                  <c:v>-4.0492348304653203E-3</c:v>
                </c:pt>
                <c:pt idx="105">
                  <c:v>-2.7946374619523099E-2</c:v>
                </c:pt>
                <c:pt idx="106">
                  <c:v>-3.3396954744240197E-2</c:v>
                </c:pt>
                <c:pt idx="107">
                  <c:v>-2.3546387913607799E-2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C1-774F-8820-F425C6F87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500687"/>
        <c:axId val="362923935"/>
      </c:scatterChart>
      <c:valAx>
        <c:axId val="36350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23935"/>
        <c:crosses val="autoZero"/>
        <c:crossBetween val="midCat"/>
      </c:valAx>
      <c:valAx>
        <c:axId val="36292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0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'direct TRS_TA_conversion'!$M$1</c:f>
              <c:strCache>
                <c:ptCount val="1"/>
                <c:pt idx="0">
                  <c:v>TAS_original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6463842082791356E-2"/>
                  <c:y val="-8.38387509253650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 TRS_TA_conversion'!$G$2:$G$109</c:f>
              <c:numCache>
                <c:formatCode>General</c:formatCode>
                <c:ptCount val="108"/>
                <c:pt idx="2">
                  <c:v>4.6348409215826503E-2</c:v>
                </c:pt>
                <c:pt idx="4">
                  <c:v>4.8608376172645198E-2</c:v>
                </c:pt>
                <c:pt idx="10">
                  <c:v>-3.38186208643051E-2</c:v>
                </c:pt>
                <c:pt idx="13">
                  <c:v>-4.3977297533369299E-4</c:v>
                </c:pt>
                <c:pt idx="22">
                  <c:v>-9.6412216514619297E-3</c:v>
                </c:pt>
                <c:pt idx="26">
                  <c:v>2.6713498103452499E-2</c:v>
                </c:pt>
                <c:pt idx="27">
                  <c:v>-2.0138565620186701E-2</c:v>
                </c:pt>
                <c:pt idx="30">
                  <c:v>4.8472997100517098E-2</c:v>
                </c:pt>
                <c:pt idx="33">
                  <c:v>2.9469106752837301E-2</c:v>
                </c:pt>
                <c:pt idx="37">
                  <c:v>1.63080183746292E-2</c:v>
                </c:pt>
                <c:pt idx="38">
                  <c:v>-3.4268519804600002E-2</c:v>
                </c:pt>
                <c:pt idx="40">
                  <c:v>-6.2181288543091701E-3</c:v>
                </c:pt>
                <c:pt idx="42">
                  <c:v>1.1946294755399999E-2</c:v>
                </c:pt>
                <c:pt idx="43">
                  <c:v>7.6931505896340194E-2</c:v>
                </c:pt>
                <c:pt idx="44">
                  <c:v>-1.3754181389995099E-2</c:v>
                </c:pt>
                <c:pt idx="45">
                  <c:v>1.6895921724966501E-2</c:v>
                </c:pt>
                <c:pt idx="48">
                  <c:v>2.8716338266763699E-2</c:v>
                </c:pt>
                <c:pt idx="49">
                  <c:v>2.29229155439475E-2</c:v>
                </c:pt>
                <c:pt idx="50">
                  <c:v>9.0000380964982404E-2</c:v>
                </c:pt>
                <c:pt idx="51">
                  <c:v>1.3351742764772301E-2</c:v>
                </c:pt>
                <c:pt idx="57">
                  <c:v>6.3884628130327997E-2</c:v>
                </c:pt>
                <c:pt idx="59">
                  <c:v>5.8104516674382399E-2</c:v>
                </c:pt>
                <c:pt idx="67">
                  <c:v>6.0525690042820502E-3</c:v>
                </c:pt>
                <c:pt idx="71">
                  <c:v>-5.4011653310640003E-3</c:v>
                </c:pt>
                <c:pt idx="73">
                  <c:v>3.4670172662481603E-2</c:v>
                </c:pt>
                <c:pt idx="87">
                  <c:v>0.16592969934156501</c:v>
                </c:pt>
                <c:pt idx="95">
                  <c:v>1.5842801839198801E-2</c:v>
                </c:pt>
                <c:pt idx="97">
                  <c:v>4.14028802879731E-2</c:v>
                </c:pt>
                <c:pt idx="102">
                  <c:v>0.131530653836712</c:v>
                </c:pt>
                <c:pt idx="104">
                  <c:v>4.3124864998968802E-2</c:v>
                </c:pt>
              </c:numCache>
            </c:numRef>
          </c:xVal>
          <c:yVal>
            <c:numRef>
              <c:f>'direct TRS_TA_conversion'!$M$2:$M$109</c:f>
              <c:numCache>
                <c:formatCode>General</c:formatCode>
                <c:ptCount val="108"/>
                <c:pt idx="0">
                  <c:v>1.4856869999999999E-2</c:v>
                </c:pt>
                <c:pt idx="1">
                  <c:v>-1.1987571000000001E-2</c:v>
                </c:pt>
                <c:pt idx="2">
                  <c:v>-9.3449640000000007E-3</c:v>
                </c:pt>
                <c:pt idx="3">
                  <c:v>4.7738958999999997E-2</c:v>
                </c:pt>
                <c:pt idx="4">
                  <c:v>1.1289364E-2</c:v>
                </c:pt>
                <c:pt idx="5">
                  <c:v>2.0379663999999999E-2</c:v>
                </c:pt>
                <c:pt idx="6">
                  <c:v>1.0849291E-2</c:v>
                </c:pt>
                <c:pt idx="7">
                  <c:v>2.4981629000000002E-2</c:v>
                </c:pt>
                <c:pt idx="8">
                  <c:v>-3.5554739999999999E-3</c:v>
                </c:pt>
                <c:pt idx="9">
                  <c:v>-2.8981882E-2</c:v>
                </c:pt>
                <c:pt idx="10">
                  <c:v>-4.7973402999999998E-2</c:v>
                </c:pt>
                <c:pt idx="11">
                  <c:v>4.6497315999999997E-2</c:v>
                </c:pt>
                <c:pt idx="12">
                  <c:v>-3.1091529999999999E-3</c:v>
                </c:pt>
                <c:pt idx="13">
                  <c:v>-2.9187465999999999E-2</c:v>
                </c:pt>
                <c:pt idx="14">
                  <c:v>-2.7583310999999999E-2</c:v>
                </c:pt>
                <c:pt idx="15">
                  <c:v>2.1329016999999999E-2</c:v>
                </c:pt>
                <c:pt idx="16">
                  <c:v>4.4998231E-2</c:v>
                </c:pt>
                <c:pt idx="17">
                  <c:v>1.9052046E-2</c:v>
                </c:pt>
                <c:pt idx="18">
                  <c:v>-1.0564609000000001E-2</c:v>
                </c:pt>
                <c:pt idx="19">
                  <c:v>9.6282869999999993E-3</c:v>
                </c:pt>
                <c:pt idx="20">
                  <c:v>1.205932E-2</c:v>
                </c:pt>
                <c:pt idx="21">
                  <c:v>2.5369019999999999E-2</c:v>
                </c:pt>
                <c:pt idx="22">
                  <c:v>-0.169765308</c:v>
                </c:pt>
                <c:pt idx="23">
                  <c:v>-1.2127880000000001E-2</c:v>
                </c:pt>
                <c:pt idx="24">
                  <c:v>6.8323990000000003E-3</c:v>
                </c:pt>
                <c:pt idx="25">
                  <c:v>-2.978283E-3</c:v>
                </c:pt>
                <c:pt idx="26">
                  <c:v>-2.4146224000000001E-2</c:v>
                </c:pt>
                <c:pt idx="27">
                  <c:v>-9.128387E-3</c:v>
                </c:pt>
                <c:pt idx="28">
                  <c:v>5.5176597000000001E-2</c:v>
                </c:pt>
                <c:pt idx="29">
                  <c:v>8.72079E-4</c:v>
                </c:pt>
                <c:pt idx="30">
                  <c:v>-3.9730868000000003E-2</c:v>
                </c:pt>
                <c:pt idx="31">
                  <c:v>2.3768579999999999E-3</c:v>
                </c:pt>
                <c:pt idx="32">
                  <c:v>1.0249362E-2</c:v>
                </c:pt>
                <c:pt idx="33">
                  <c:v>-7.8758729E-2</c:v>
                </c:pt>
                <c:pt idx="34">
                  <c:v>2.8739988000000001E-2</c:v>
                </c:pt>
                <c:pt idx="35">
                  <c:v>1.3850355999999999E-2</c:v>
                </c:pt>
                <c:pt idx="36">
                  <c:v>3.8396183E-2</c:v>
                </c:pt>
                <c:pt idx="37">
                  <c:v>3.7854055999999997E-2</c:v>
                </c:pt>
                <c:pt idx="38">
                  <c:v>-3.8494206000000003E-2</c:v>
                </c:pt>
                <c:pt idx="39">
                  <c:v>1.1743072E-2</c:v>
                </c:pt>
                <c:pt idx="40">
                  <c:v>6.914407E-3</c:v>
                </c:pt>
                <c:pt idx="41">
                  <c:v>-2.4363314E-2</c:v>
                </c:pt>
                <c:pt idx="42">
                  <c:v>-1.3473749E-2</c:v>
                </c:pt>
                <c:pt idx="43">
                  <c:v>-3.9233404E-2</c:v>
                </c:pt>
                <c:pt idx="44">
                  <c:v>-3.1374895E-2</c:v>
                </c:pt>
                <c:pt idx="45">
                  <c:v>-3.7169530999999999E-2</c:v>
                </c:pt>
                <c:pt idx="46">
                  <c:v>-1.2964514999999999E-2</c:v>
                </c:pt>
                <c:pt idx="47">
                  <c:v>2.3864974000000001E-2</c:v>
                </c:pt>
                <c:pt idx="48">
                  <c:v>-4.9836162000000003E-2</c:v>
                </c:pt>
                <c:pt idx="49">
                  <c:v>7.0471031000000003E-2</c:v>
                </c:pt>
                <c:pt idx="50">
                  <c:v>1.266192E-3</c:v>
                </c:pt>
                <c:pt idx="51">
                  <c:v>-4.6931890000000004E-3</c:v>
                </c:pt>
                <c:pt idx="52">
                  <c:v>1.4048209000000001E-2</c:v>
                </c:pt>
                <c:pt idx="53">
                  <c:v>3.9306674E-2</c:v>
                </c:pt>
                <c:pt idx="54">
                  <c:v>3.5689660999999998E-2</c:v>
                </c:pt>
                <c:pt idx="55">
                  <c:v>3.6937462999999997E-2</c:v>
                </c:pt>
                <c:pt idx="56">
                  <c:v>-8.2103809999999992E-3</c:v>
                </c:pt>
                <c:pt idx="57">
                  <c:v>9.4994160000000001E-3</c:v>
                </c:pt>
                <c:pt idx="58">
                  <c:v>2.9913302999999999E-2</c:v>
                </c:pt>
                <c:pt idx="59">
                  <c:v>-2.5290923999999999E-2</c:v>
                </c:pt>
                <c:pt idx="60">
                  <c:v>5.3509202999999998E-2</c:v>
                </c:pt>
                <c:pt idx="61">
                  <c:v>6.7420409999999998E-3</c:v>
                </c:pt>
                <c:pt idx="62">
                  <c:v>1.5433644E-2</c:v>
                </c:pt>
                <c:pt idx="63">
                  <c:v>1.460963E-3</c:v>
                </c:pt>
                <c:pt idx="64">
                  <c:v>1.0406230000000001E-2</c:v>
                </c:pt>
                <c:pt idx="65">
                  <c:v>-2.0042401000000001E-2</c:v>
                </c:pt>
                <c:pt idx="66">
                  <c:v>-1.2119978999999999E-2</c:v>
                </c:pt>
                <c:pt idx="67">
                  <c:v>-6.0410344999999997E-2</c:v>
                </c:pt>
                <c:pt idx="68">
                  <c:v>1.5142348E-2</c:v>
                </c:pt>
                <c:pt idx="69">
                  <c:v>-2.5344873E-2</c:v>
                </c:pt>
                <c:pt idx="70">
                  <c:v>5.6781623000000003E-2</c:v>
                </c:pt>
                <c:pt idx="71">
                  <c:v>-2.5972740000000001E-2</c:v>
                </c:pt>
                <c:pt idx="72">
                  <c:v>-3.8568974999999998E-2</c:v>
                </c:pt>
                <c:pt idx="73">
                  <c:v>-3.5008338999999999E-2</c:v>
                </c:pt>
                <c:pt idx="74">
                  <c:v>-2.8395118E-2</c:v>
                </c:pt>
                <c:pt idx="75">
                  <c:v>-6.3265660000000001E-2</c:v>
                </c:pt>
                <c:pt idx="76">
                  <c:v>1.3844949E-2</c:v>
                </c:pt>
                <c:pt idx="77">
                  <c:v>-4.1044239999999997E-3</c:v>
                </c:pt>
                <c:pt idx="78">
                  <c:v>9.7701679999999992E-3</c:v>
                </c:pt>
                <c:pt idx="79">
                  <c:v>2.9572556E-2</c:v>
                </c:pt>
                <c:pt idx="80">
                  <c:v>1.303495E-3</c:v>
                </c:pt>
                <c:pt idx="81">
                  <c:v>2.4086357999999999E-2</c:v>
                </c:pt>
                <c:pt idx="82">
                  <c:v>1.9391110999999999E-2</c:v>
                </c:pt>
                <c:pt idx="83">
                  <c:v>1.107463E-2</c:v>
                </c:pt>
                <c:pt idx="84">
                  <c:v>-0.12611281999999999</c:v>
                </c:pt>
                <c:pt idx="85">
                  <c:v>8.3299399999999996E-2</c:v>
                </c:pt>
                <c:pt idx="86">
                  <c:v>5.3044991E-2</c:v>
                </c:pt>
                <c:pt idx="87">
                  <c:v>9.2777886000000004E-2</c:v>
                </c:pt>
                <c:pt idx="88">
                  <c:v>6.7407399999999998E-4</c:v>
                </c:pt>
                <c:pt idx="89">
                  <c:v>2.4550134000000001E-2</c:v>
                </c:pt>
                <c:pt idx="90">
                  <c:v>5.9860110000000003E-3</c:v>
                </c:pt>
                <c:pt idx="91">
                  <c:v>-1.7635544999999999E-2</c:v>
                </c:pt>
                <c:pt idx="92">
                  <c:v>4.0100603999999998E-2</c:v>
                </c:pt>
                <c:pt idx="93">
                  <c:v>0.120044941</c:v>
                </c:pt>
                <c:pt idx="94">
                  <c:v>-1.7104668999999999E-2</c:v>
                </c:pt>
                <c:pt idx="95">
                  <c:v>2.5613805E-2</c:v>
                </c:pt>
                <c:pt idx="96">
                  <c:v>3.5603366999999997E-2</c:v>
                </c:pt>
                <c:pt idx="97">
                  <c:v>6.9552800000000003E-3</c:v>
                </c:pt>
                <c:pt idx="98">
                  <c:v>-5.8174560000000004E-3</c:v>
                </c:pt>
                <c:pt idx="99">
                  <c:v>2.6482929999999999E-3</c:v>
                </c:pt>
                <c:pt idx="100">
                  <c:v>-1.8783286E-2</c:v>
                </c:pt>
                <c:pt idx="101">
                  <c:v>1.0198390999999999E-2</c:v>
                </c:pt>
                <c:pt idx="102">
                  <c:v>-4.0796895E-2</c:v>
                </c:pt>
                <c:pt idx="103">
                  <c:v>9.1471050999999998E-2</c:v>
                </c:pt>
                <c:pt idx="104">
                  <c:v>8.3388042999999995E-2</c:v>
                </c:pt>
                <c:pt idx="105">
                  <c:v>2.022973E-3</c:v>
                </c:pt>
                <c:pt idx="106">
                  <c:v>-1.5205866E-2</c:v>
                </c:pt>
                <c:pt idx="107">
                  <c:v>5.1101800000000002E-4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9-0B4A-BFC7-D374BDC05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14528"/>
        <c:axId val="1535322752"/>
      </c:scatterChart>
      <c:valAx>
        <c:axId val="211291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322752"/>
        <c:crosses val="autoZero"/>
        <c:crossBetween val="midCat"/>
      </c:valAx>
      <c:valAx>
        <c:axId val="15353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1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'direct TRS_TA_conversion'!$M$1</c:f>
              <c:strCache>
                <c:ptCount val="1"/>
                <c:pt idx="0">
                  <c:v>TAS_original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'direct TRS_TA_conversion'!$K$2:$K$109</c:f>
              <c:numCache>
                <c:formatCode>General</c:formatCode>
                <c:ptCount val="108"/>
                <c:pt idx="0">
                  <c:v>1.2413841741116699E-2</c:v>
                </c:pt>
                <c:pt idx="1">
                  <c:v>-2.41673047426951E-2</c:v>
                </c:pt>
                <c:pt idx="2">
                  <c:v>4.2973934854613503E-2</c:v>
                </c:pt>
                <c:pt idx="3">
                  <c:v>3.3057940229297499E-2</c:v>
                </c:pt>
                <c:pt idx="4">
                  <c:v>1.08561263074053E-2</c:v>
                </c:pt>
                <c:pt idx="5">
                  <c:v>8.5532994835192701E-3</c:v>
                </c:pt>
                <c:pt idx="6">
                  <c:v>1.2908177080061201E-2</c:v>
                </c:pt>
                <c:pt idx="7">
                  <c:v>6.53324274882111E-3</c:v>
                </c:pt>
                <c:pt idx="8">
                  <c:v>-2.00788567110721E-2</c:v>
                </c:pt>
                <c:pt idx="9">
                  <c:v>-2.7134725296359501E-2</c:v>
                </c:pt>
                <c:pt idx="10">
                  <c:v>-2.8905742078317299E-2</c:v>
                </c:pt>
                <c:pt idx="11">
                  <c:v>1.6116331055357799E-2</c:v>
                </c:pt>
                <c:pt idx="12">
                  <c:v>-2.39836602061415E-3</c:v>
                </c:pt>
                <c:pt idx="13">
                  <c:v>6.9414430610397699E-3</c:v>
                </c:pt>
                <c:pt idx="14">
                  <c:v>2.0812699027707899E-2</c:v>
                </c:pt>
                <c:pt idx="15">
                  <c:v>1.8982017274973E-2</c:v>
                </c:pt>
                <c:pt idx="16">
                  <c:v>1.2019822841721799E-2</c:v>
                </c:pt>
                <c:pt idx="17">
                  <c:v>2.4058560174373401E-2</c:v>
                </c:pt>
                <c:pt idx="18">
                  <c:v>-6.4494924790824302E-3</c:v>
                </c:pt>
                <c:pt idx="19">
                  <c:v>1.0733262766646601E-2</c:v>
                </c:pt>
                <c:pt idx="20">
                  <c:v>7.5816086286142398E-3</c:v>
                </c:pt>
                <c:pt idx="21">
                  <c:v>2.0326467689790399E-2</c:v>
                </c:pt>
                <c:pt idx="22">
                  <c:v>-9.6412216514619297E-3</c:v>
                </c:pt>
                <c:pt idx="23">
                  <c:v>1.27175012799577E-2</c:v>
                </c:pt>
                <c:pt idx="24">
                  <c:v>1.39305497730017E-2</c:v>
                </c:pt>
                <c:pt idx="25">
                  <c:v>-2.64601581820057E-2</c:v>
                </c:pt>
                <c:pt idx="26">
                  <c:v>1.81326731329472E-2</c:v>
                </c:pt>
                <c:pt idx="27">
                  <c:v>-1.38234882413334E-2</c:v>
                </c:pt>
                <c:pt idx="28">
                  <c:v>2.9913395337355E-2</c:v>
                </c:pt>
                <c:pt idx="29">
                  <c:v>2.01578739926783E-2</c:v>
                </c:pt>
                <c:pt idx="30">
                  <c:v>2.5701433681035599E-2</c:v>
                </c:pt>
                <c:pt idx="31">
                  <c:v>2.6115458352868499E-2</c:v>
                </c:pt>
                <c:pt idx="32">
                  <c:v>3.2011363669934803E-2</c:v>
                </c:pt>
                <c:pt idx="33">
                  <c:v>1.89324526398221E-2</c:v>
                </c:pt>
                <c:pt idx="34">
                  <c:v>2.7143395712643402E-3</c:v>
                </c:pt>
                <c:pt idx="35">
                  <c:v>3.6089969539724702E-2</c:v>
                </c:pt>
                <c:pt idx="36">
                  <c:v>4.2286303987895998E-2</c:v>
                </c:pt>
                <c:pt idx="37">
                  <c:v>6.3146466211990897E-3</c:v>
                </c:pt>
                <c:pt idx="38">
                  <c:v>-1.25553659580204E-2</c:v>
                </c:pt>
                <c:pt idx="39">
                  <c:v>2.0591094836226401E-2</c:v>
                </c:pt>
                <c:pt idx="40" formatCode="0.00E+00">
                  <c:v>9.4101632769988505E-5</c:v>
                </c:pt>
                <c:pt idx="41">
                  <c:v>9.3322229456923693E-3</c:v>
                </c:pt>
                <c:pt idx="42">
                  <c:v>1.10094749955672E-2</c:v>
                </c:pt>
                <c:pt idx="43">
                  <c:v>1.7273457532211801E-2</c:v>
                </c:pt>
                <c:pt idx="44">
                  <c:v>3.1618178212614099E-3</c:v>
                </c:pt>
                <c:pt idx="45">
                  <c:v>1.42046620255647E-2</c:v>
                </c:pt>
                <c:pt idx="46">
                  <c:v>-6.1437943912702698E-3</c:v>
                </c:pt>
                <c:pt idx="47">
                  <c:v>2.5216940669163201E-2</c:v>
                </c:pt>
                <c:pt idx="48">
                  <c:v>1.1015254705321199E-2</c:v>
                </c:pt>
                <c:pt idx="49">
                  <c:v>-1.4846282031999201E-2</c:v>
                </c:pt>
                <c:pt idx="50">
                  <c:v>5.7029926209056503E-2</c:v>
                </c:pt>
                <c:pt idx="51">
                  <c:v>-1.4639313744635601E-2</c:v>
                </c:pt>
                <c:pt idx="52">
                  <c:v>4.10765014642943E-4</c:v>
                </c:pt>
                <c:pt idx="53">
                  <c:v>4.1081893233936101E-2</c:v>
                </c:pt>
                <c:pt idx="54">
                  <c:v>6.3393171516834702E-3</c:v>
                </c:pt>
                <c:pt idx="55">
                  <c:v>3.6649091165670201E-2</c:v>
                </c:pt>
                <c:pt idx="56">
                  <c:v>-1.97903647992419E-2</c:v>
                </c:pt>
                <c:pt idx="57">
                  <c:v>3.1340133798776301E-2</c:v>
                </c:pt>
                <c:pt idx="58">
                  <c:v>7.6622413071815599E-3</c:v>
                </c:pt>
                <c:pt idx="59">
                  <c:v>3.9261661812911103E-2</c:v>
                </c:pt>
                <c:pt idx="60">
                  <c:v>9.5206290271869099E-3</c:v>
                </c:pt>
                <c:pt idx="61">
                  <c:v>2.9427610191196302E-2</c:v>
                </c:pt>
                <c:pt idx="62">
                  <c:v>1.8199919270726901E-2</c:v>
                </c:pt>
                <c:pt idx="63">
                  <c:v>1.41320796652495E-3</c:v>
                </c:pt>
                <c:pt idx="64">
                  <c:v>2.2043282040564102E-2</c:v>
                </c:pt>
                <c:pt idx="65">
                  <c:v>-1.0175343702905199E-2</c:v>
                </c:pt>
                <c:pt idx="66">
                  <c:v>1.9272610040733201E-2</c:v>
                </c:pt>
                <c:pt idx="67">
                  <c:v>4.6651785002488396E-3</c:v>
                </c:pt>
                <c:pt idx="68">
                  <c:v>2.55615335610701E-3</c:v>
                </c:pt>
                <c:pt idx="69">
                  <c:v>-1.11041245566104E-2</c:v>
                </c:pt>
                <c:pt idx="70">
                  <c:v>5.0251427361933498E-2</c:v>
                </c:pt>
                <c:pt idx="71">
                  <c:v>-5.9596892524018596E-3</c:v>
                </c:pt>
                <c:pt idx="72">
                  <c:v>2.3312898648467199E-2</c:v>
                </c:pt>
                <c:pt idx="73">
                  <c:v>1.7662354487951601E-2</c:v>
                </c:pt>
                <c:pt idx="74">
                  <c:v>3.4323741884659401E-3</c:v>
                </c:pt>
                <c:pt idx="75">
                  <c:v>-2.6335568534100001E-2</c:v>
                </c:pt>
                <c:pt idx="76">
                  <c:v>-1.0104629710979401E-2</c:v>
                </c:pt>
                <c:pt idx="77">
                  <c:v>1.33126252918971E-2</c:v>
                </c:pt>
                <c:pt idx="78">
                  <c:v>1.7636629659249298E-2</c:v>
                </c:pt>
                <c:pt idx="79">
                  <c:v>4.9387566889358397E-3</c:v>
                </c:pt>
                <c:pt idx="80">
                  <c:v>1.7952696702841699E-2</c:v>
                </c:pt>
                <c:pt idx="81">
                  <c:v>7.8396062203231493E-3</c:v>
                </c:pt>
                <c:pt idx="82">
                  <c:v>1.6543982536588699E-2</c:v>
                </c:pt>
                <c:pt idx="83">
                  <c:v>2.2564858105249701E-2</c:v>
                </c:pt>
                <c:pt idx="84">
                  <c:v>-4.50074993709772E-2</c:v>
                </c:pt>
                <c:pt idx="85">
                  <c:v>5.4249143741425497E-2</c:v>
                </c:pt>
                <c:pt idx="86">
                  <c:v>3.2960261594006397E-2</c:v>
                </c:pt>
                <c:pt idx="87">
                  <c:v>6.1718679746380199E-2</c:v>
                </c:pt>
                <c:pt idx="88">
                  <c:v>2.6399509039811E-2</c:v>
                </c:pt>
                <c:pt idx="89">
                  <c:v>1.9617102934498799E-2</c:v>
                </c:pt>
                <c:pt idx="90">
                  <c:v>6.9733299213721803E-3</c:v>
                </c:pt>
                <c:pt idx="91">
                  <c:v>-1.1936915122475999E-2</c:v>
                </c:pt>
                <c:pt idx="92">
                  <c:v>3.7675253562540797E-2</c:v>
                </c:pt>
                <c:pt idx="93">
                  <c:v>6.9660521447596005E-2</c:v>
                </c:pt>
                <c:pt idx="94">
                  <c:v>-3.94422388031569E-2</c:v>
                </c:pt>
                <c:pt idx="95">
                  <c:v>1.2796433372901201E-2</c:v>
                </c:pt>
                <c:pt idx="96">
                  <c:v>2.70229921011409E-2</c:v>
                </c:pt>
                <c:pt idx="97">
                  <c:v>1.1496293320120801E-2</c:v>
                </c:pt>
                <c:pt idx="98">
                  <c:v>-5.6982282422337804E-3</c:v>
                </c:pt>
                <c:pt idx="99">
                  <c:v>-2.46456242917716E-3</c:v>
                </c:pt>
                <c:pt idx="100">
                  <c:v>-5.8683400421024297E-3</c:v>
                </c:pt>
                <c:pt idx="101">
                  <c:v>2.72278622245937E-2</c:v>
                </c:pt>
                <c:pt idx="102">
                  <c:v>3.8683246119870597E-2</c:v>
                </c:pt>
                <c:pt idx="103">
                  <c:v>6.7703459239924602E-2</c:v>
                </c:pt>
                <c:pt idx="104">
                  <c:v>1.2665413276627801E-3</c:v>
                </c:pt>
                <c:pt idx="105">
                  <c:v>-5.6370171918328302E-3</c:v>
                </c:pt>
                <c:pt idx="106">
                  <c:v>-1.44985658785583E-2</c:v>
                </c:pt>
                <c:pt idx="107">
                  <c:v>1.7119499845751E-3</c:v>
                </c:pt>
              </c:numCache>
            </c:numRef>
          </c:xVal>
          <c:yVal>
            <c:numRef>
              <c:f>'direct TRS_TA_conversion'!$M$2:$M$109</c:f>
              <c:numCache>
                <c:formatCode>General</c:formatCode>
                <c:ptCount val="108"/>
                <c:pt idx="0">
                  <c:v>1.4856869999999999E-2</c:v>
                </c:pt>
                <c:pt idx="1">
                  <c:v>-1.1987571000000001E-2</c:v>
                </c:pt>
                <c:pt idx="2">
                  <c:v>-9.3449640000000007E-3</c:v>
                </c:pt>
                <c:pt idx="3">
                  <c:v>4.7738958999999997E-2</c:v>
                </c:pt>
                <c:pt idx="4">
                  <c:v>1.1289364E-2</c:v>
                </c:pt>
                <c:pt idx="5">
                  <c:v>2.0379663999999999E-2</c:v>
                </c:pt>
                <c:pt idx="6">
                  <c:v>1.0849291E-2</c:v>
                </c:pt>
                <c:pt idx="7">
                  <c:v>2.4981629000000002E-2</c:v>
                </c:pt>
                <c:pt idx="8">
                  <c:v>-3.5554739999999999E-3</c:v>
                </c:pt>
                <c:pt idx="9">
                  <c:v>-2.8981882E-2</c:v>
                </c:pt>
                <c:pt idx="10">
                  <c:v>-4.7973402999999998E-2</c:v>
                </c:pt>
                <c:pt idx="11">
                  <c:v>4.6497315999999997E-2</c:v>
                </c:pt>
                <c:pt idx="12">
                  <c:v>-3.1091529999999999E-3</c:v>
                </c:pt>
                <c:pt idx="13">
                  <c:v>-2.9187465999999999E-2</c:v>
                </c:pt>
                <c:pt idx="14">
                  <c:v>-2.7583310999999999E-2</c:v>
                </c:pt>
                <c:pt idx="15">
                  <c:v>2.1329016999999999E-2</c:v>
                </c:pt>
                <c:pt idx="16">
                  <c:v>4.4998231E-2</c:v>
                </c:pt>
                <c:pt idx="17">
                  <c:v>1.9052046E-2</c:v>
                </c:pt>
                <c:pt idx="18">
                  <c:v>-1.0564609000000001E-2</c:v>
                </c:pt>
                <c:pt idx="19">
                  <c:v>9.6282869999999993E-3</c:v>
                </c:pt>
                <c:pt idx="20">
                  <c:v>1.205932E-2</c:v>
                </c:pt>
                <c:pt idx="21">
                  <c:v>2.5369019999999999E-2</c:v>
                </c:pt>
                <c:pt idx="22">
                  <c:v>-0.169765308</c:v>
                </c:pt>
                <c:pt idx="23">
                  <c:v>-1.2127880000000001E-2</c:v>
                </c:pt>
                <c:pt idx="24">
                  <c:v>6.8323990000000003E-3</c:v>
                </c:pt>
                <c:pt idx="25">
                  <c:v>-2.978283E-3</c:v>
                </c:pt>
                <c:pt idx="26">
                  <c:v>-2.4146224000000001E-2</c:v>
                </c:pt>
                <c:pt idx="27">
                  <c:v>-9.128387E-3</c:v>
                </c:pt>
                <c:pt idx="28">
                  <c:v>5.5176597000000001E-2</c:v>
                </c:pt>
                <c:pt idx="29">
                  <c:v>8.72079E-4</c:v>
                </c:pt>
                <c:pt idx="30">
                  <c:v>-3.9730868000000003E-2</c:v>
                </c:pt>
                <c:pt idx="31">
                  <c:v>2.3768579999999999E-3</c:v>
                </c:pt>
                <c:pt idx="32">
                  <c:v>1.0249362E-2</c:v>
                </c:pt>
                <c:pt idx="33">
                  <c:v>-7.8758729E-2</c:v>
                </c:pt>
                <c:pt idx="34">
                  <c:v>2.8739988000000001E-2</c:v>
                </c:pt>
                <c:pt idx="35">
                  <c:v>1.3850355999999999E-2</c:v>
                </c:pt>
                <c:pt idx="36">
                  <c:v>3.8396183E-2</c:v>
                </c:pt>
                <c:pt idx="37">
                  <c:v>3.7854055999999997E-2</c:v>
                </c:pt>
                <c:pt idx="38">
                  <c:v>-3.8494206000000003E-2</c:v>
                </c:pt>
                <c:pt idx="39">
                  <c:v>1.1743072E-2</c:v>
                </c:pt>
                <c:pt idx="40">
                  <c:v>6.914407E-3</c:v>
                </c:pt>
                <c:pt idx="41">
                  <c:v>-2.4363314E-2</c:v>
                </c:pt>
                <c:pt idx="42">
                  <c:v>-1.3473749E-2</c:v>
                </c:pt>
                <c:pt idx="43">
                  <c:v>-3.9233404E-2</c:v>
                </c:pt>
                <c:pt idx="44">
                  <c:v>-3.1374895E-2</c:v>
                </c:pt>
                <c:pt idx="45">
                  <c:v>-3.7169530999999999E-2</c:v>
                </c:pt>
                <c:pt idx="46">
                  <c:v>-1.2964514999999999E-2</c:v>
                </c:pt>
                <c:pt idx="47">
                  <c:v>2.3864974000000001E-2</c:v>
                </c:pt>
                <c:pt idx="48">
                  <c:v>-4.9836162000000003E-2</c:v>
                </c:pt>
                <c:pt idx="49">
                  <c:v>7.0471031000000003E-2</c:v>
                </c:pt>
                <c:pt idx="50">
                  <c:v>1.266192E-3</c:v>
                </c:pt>
                <c:pt idx="51">
                  <c:v>-4.6931890000000004E-3</c:v>
                </c:pt>
                <c:pt idx="52">
                  <c:v>1.4048209000000001E-2</c:v>
                </c:pt>
                <c:pt idx="53">
                  <c:v>3.9306674E-2</c:v>
                </c:pt>
                <c:pt idx="54">
                  <c:v>3.5689660999999998E-2</c:v>
                </c:pt>
                <c:pt idx="55">
                  <c:v>3.6937462999999997E-2</c:v>
                </c:pt>
                <c:pt idx="56">
                  <c:v>-8.2103809999999992E-3</c:v>
                </c:pt>
                <c:pt idx="57">
                  <c:v>9.4994160000000001E-3</c:v>
                </c:pt>
                <c:pt idx="58">
                  <c:v>2.9913302999999999E-2</c:v>
                </c:pt>
                <c:pt idx="59">
                  <c:v>-2.5290923999999999E-2</c:v>
                </c:pt>
                <c:pt idx="60">
                  <c:v>5.3509202999999998E-2</c:v>
                </c:pt>
                <c:pt idx="61">
                  <c:v>6.7420409999999998E-3</c:v>
                </c:pt>
                <c:pt idx="62">
                  <c:v>1.5433644E-2</c:v>
                </c:pt>
                <c:pt idx="63">
                  <c:v>1.460963E-3</c:v>
                </c:pt>
                <c:pt idx="64">
                  <c:v>1.0406230000000001E-2</c:v>
                </c:pt>
                <c:pt idx="65">
                  <c:v>-2.0042401000000001E-2</c:v>
                </c:pt>
                <c:pt idx="66">
                  <c:v>-1.2119978999999999E-2</c:v>
                </c:pt>
                <c:pt idx="67">
                  <c:v>-6.0410344999999997E-2</c:v>
                </c:pt>
                <c:pt idx="68">
                  <c:v>1.5142348E-2</c:v>
                </c:pt>
                <c:pt idx="69">
                  <c:v>-2.5344873E-2</c:v>
                </c:pt>
                <c:pt idx="70">
                  <c:v>5.6781623000000003E-2</c:v>
                </c:pt>
                <c:pt idx="71">
                  <c:v>-2.5972740000000001E-2</c:v>
                </c:pt>
                <c:pt idx="72">
                  <c:v>-3.8568974999999998E-2</c:v>
                </c:pt>
                <c:pt idx="73">
                  <c:v>-3.5008338999999999E-2</c:v>
                </c:pt>
                <c:pt idx="74">
                  <c:v>-2.8395118E-2</c:v>
                </c:pt>
                <c:pt idx="75">
                  <c:v>-6.3265660000000001E-2</c:v>
                </c:pt>
                <c:pt idx="76">
                  <c:v>1.3844949E-2</c:v>
                </c:pt>
                <c:pt idx="77">
                  <c:v>-4.1044239999999997E-3</c:v>
                </c:pt>
                <c:pt idx="78">
                  <c:v>9.7701679999999992E-3</c:v>
                </c:pt>
                <c:pt idx="79">
                  <c:v>2.9572556E-2</c:v>
                </c:pt>
                <c:pt idx="80">
                  <c:v>1.303495E-3</c:v>
                </c:pt>
                <c:pt idx="81">
                  <c:v>2.4086357999999999E-2</c:v>
                </c:pt>
                <c:pt idx="82">
                  <c:v>1.9391110999999999E-2</c:v>
                </c:pt>
                <c:pt idx="83">
                  <c:v>1.107463E-2</c:v>
                </c:pt>
                <c:pt idx="84">
                  <c:v>-0.12611281999999999</c:v>
                </c:pt>
                <c:pt idx="85">
                  <c:v>8.3299399999999996E-2</c:v>
                </c:pt>
                <c:pt idx="86">
                  <c:v>5.3044991E-2</c:v>
                </c:pt>
                <c:pt idx="87">
                  <c:v>9.2777886000000004E-2</c:v>
                </c:pt>
                <c:pt idx="88">
                  <c:v>6.7407399999999998E-4</c:v>
                </c:pt>
                <c:pt idx="89">
                  <c:v>2.4550134000000001E-2</c:v>
                </c:pt>
                <c:pt idx="90">
                  <c:v>5.9860110000000003E-3</c:v>
                </c:pt>
                <c:pt idx="91">
                  <c:v>-1.7635544999999999E-2</c:v>
                </c:pt>
                <c:pt idx="92">
                  <c:v>4.0100603999999998E-2</c:v>
                </c:pt>
                <c:pt idx="93">
                  <c:v>0.120044941</c:v>
                </c:pt>
                <c:pt idx="94">
                  <c:v>-1.7104668999999999E-2</c:v>
                </c:pt>
                <c:pt idx="95">
                  <c:v>2.5613805E-2</c:v>
                </c:pt>
                <c:pt idx="96">
                  <c:v>3.5603366999999997E-2</c:v>
                </c:pt>
                <c:pt idx="97">
                  <c:v>6.9552800000000003E-3</c:v>
                </c:pt>
                <c:pt idx="98">
                  <c:v>-5.8174560000000004E-3</c:v>
                </c:pt>
                <c:pt idx="99">
                  <c:v>2.6482929999999999E-3</c:v>
                </c:pt>
                <c:pt idx="100">
                  <c:v>-1.8783286E-2</c:v>
                </c:pt>
                <c:pt idx="101">
                  <c:v>1.0198390999999999E-2</c:v>
                </c:pt>
                <c:pt idx="102">
                  <c:v>-4.0796895E-2</c:v>
                </c:pt>
                <c:pt idx="103">
                  <c:v>9.1471050999999998E-2</c:v>
                </c:pt>
                <c:pt idx="104">
                  <c:v>8.3388042999999995E-2</c:v>
                </c:pt>
                <c:pt idx="105">
                  <c:v>2.022973E-3</c:v>
                </c:pt>
                <c:pt idx="106">
                  <c:v>-1.5205866E-2</c:v>
                </c:pt>
                <c:pt idx="107">
                  <c:v>5.1101800000000002E-4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2-7C41-8197-5A931A188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883488"/>
        <c:axId val="1755885200"/>
      </c:scatterChart>
      <c:valAx>
        <c:axId val="175588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85200"/>
        <c:crosses val="autoZero"/>
        <c:crossBetween val="midCat"/>
      </c:valAx>
      <c:valAx>
        <c:axId val="175588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8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'direct TRS_TA_conversion'!$K$1</c:f>
              <c:strCache>
                <c:ptCount val="1"/>
                <c:pt idx="0">
                  <c:v>TAS_TA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9.3639545056867883E-3"/>
                  <c:y val="-9.51782589676290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 TRS_TA_conversion'!$I$2:$I$109</c:f>
              <c:numCache>
                <c:formatCode>General</c:formatCode>
                <c:ptCount val="108"/>
                <c:pt idx="0">
                  <c:v>1.4856869999999999E-2</c:v>
                </c:pt>
                <c:pt idx="1">
                  <c:v>-1.1987571000000001E-2</c:v>
                </c:pt>
                <c:pt idx="2">
                  <c:v>4.6348409215826503E-2</c:v>
                </c:pt>
                <c:pt idx="3">
                  <c:v>4.7738958999999997E-2</c:v>
                </c:pt>
                <c:pt idx="4">
                  <c:v>4.8608376172645198E-2</c:v>
                </c:pt>
                <c:pt idx="5">
                  <c:v>2.0379663999999999E-2</c:v>
                </c:pt>
                <c:pt idx="6">
                  <c:v>1.0849291E-2</c:v>
                </c:pt>
                <c:pt idx="7">
                  <c:v>2.4981629000000002E-2</c:v>
                </c:pt>
                <c:pt idx="8">
                  <c:v>-3.5554739999999999E-3</c:v>
                </c:pt>
                <c:pt idx="9">
                  <c:v>-2.8981882E-2</c:v>
                </c:pt>
                <c:pt idx="10">
                  <c:v>-3.38186208643051E-2</c:v>
                </c:pt>
                <c:pt idx="11">
                  <c:v>4.6497315999999997E-2</c:v>
                </c:pt>
                <c:pt idx="12">
                  <c:v>-3.1091529999999999E-3</c:v>
                </c:pt>
                <c:pt idx="13">
                  <c:v>-4.3977297533369299E-4</c:v>
                </c:pt>
                <c:pt idx="14">
                  <c:v>-2.7583310999999999E-2</c:v>
                </c:pt>
                <c:pt idx="15">
                  <c:v>2.1329016999999999E-2</c:v>
                </c:pt>
                <c:pt idx="16">
                  <c:v>4.4998231E-2</c:v>
                </c:pt>
                <c:pt idx="17">
                  <c:v>1.9052046E-2</c:v>
                </c:pt>
                <c:pt idx="18">
                  <c:v>-1.0564609000000001E-2</c:v>
                </c:pt>
                <c:pt idx="19">
                  <c:v>9.6282869999999993E-3</c:v>
                </c:pt>
                <c:pt idx="20">
                  <c:v>1.205932E-2</c:v>
                </c:pt>
                <c:pt idx="21">
                  <c:v>2.5369019999999999E-2</c:v>
                </c:pt>
                <c:pt idx="22">
                  <c:v>-9.6412216514619297E-3</c:v>
                </c:pt>
                <c:pt idx="23">
                  <c:v>-1.2127880000000001E-2</c:v>
                </c:pt>
                <c:pt idx="24">
                  <c:v>6.8323990000000003E-3</c:v>
                </c:pt>
                <c:pt idx="25">
                  <c:v>-2.978283E-3</c:v>
                </c:pt>
                <c:pt idx="26">
                  <c:v>2.6713498103452499E-2</c:v>
                </c:pt>
                <c:pt idx="27">
                  <c:v>-2.0138565620186701E-2</c:v>
                </c:pt>
                <c:pt idx="28">
                  <c:v>5.5176597000000001E-2</c:v>
                </c:pt>
                <c:pt idx="29">
                  <c:v>8.72079E-4</c:v>
                </c:pt>
                <c:pt idx="30">
                  <c:v>4.8472997100517098E-2</c:v>
                </c:pt>
                <c:pt idx="31">
                  <c:v>2.3768579999999999E-3</c:v>
                </c:pt>
                <c:pt idx="32">
                  <c:v>1.0249362E-2</c:v>
                </c:pt>
                <c:pt idx="33">
                  <c:v>2.9469106752837301E-2</c:v>
                </c:pt>
                <c:pt idx="34">
                  <c:v>2.8739988000000001E-2</c:v>
                </c:pt>
                <c:pt idx="35">
                  <c:v>1.3850355999999999E-2</c:v>
                </c:pt>
                <c:pt idx="36">
                  <c:v>3.8396183E-2</c:v>
                </c:pt>
                <c:pt idx="37">
                  <c:v>1.63080183746292E-2</c:v>
                </c:pt>
                <c:pt idx="38">
                  <c:v>-3.4268519804600002E-2</c:v>
                </c:pt>
                <c:pt idx="39">
                  <c:v>1.1743072E-2</c:v>
                </c:pt>
                <c:pt idx="40">
                  <c:v>-6.2181288543091701E-3</c:v>
                </c:pt>
                <c:pt idx="41">
                  <c:v>-2.4363314E-2</c:v>
                </c:pt>
                <c:pt idx="42">
                  <c:v>1.1946294755399999E-2</c:v>
                </c:pt>
                <c:pt idx="43">
                  <c:v>7.6931505896340194E-2</c:v>
                </c:pt>
                <c:pt idx="44">
                  <c:v>-1.3754181389995099E-2</c:v>
                </c:pt>
                <c:pt idx="45">
                  <c:v>1.6895921724966501E-2</c:v>
                </c:pt>
                <c:pt idx="46">
                  <c:v>-1.2964514999999999E-2</c:v>
                </c:pt>
                <c:pt idx="47">
                  <c:v>2.3864974000000001E-2</c:v>
                </c:pt>
                <c:pt idx="48">
                  <c:v>2.8716338266763699E-2</c:v>
                </c:pt>
                <c:pt idx="49">
                  <c:v>2.29229155439475E-2</c:v>
                </c:pt>
                <c:pt idx="50">
                  <c:v>9.0000380964982404E-2</c:v>
                </c:pt>
                <c:pt idx="51">
                  <c:v>1.3351742764772301E-2</c:v>
                </c:pt>
                <c:pt idx="52">
                  <c:v>1.4048209000000001E-2</c:v>
                </c:pt>
                <c:pt idx="53">
                  <c:v>3.9306674E-2</c:v>
                </c:pt>
                <c:pt idx="54">
                  <c:v>3.5689660999999998E-2</c:v>
                </c:pt>
                <c:pt idx="55">
                  <c:v>3.6937462999999997E-2</c:v>
                </c:pt>
                <c:pt idx="56">
                  <c:v>-8.2103809999999992E-3</c:v>
                </c:pt>
                <c:pt idx="57">
                  <c:v>6.3884628130327997E-2</c:v>
                </c:pt>
                <c:pt idx="58">
                  <c:v>2.9913302999999999E-2</c:v>
                </c:pt>
                <c:pt idx="59">
                  <c:v>5.8104516674382399E-2</c:v>
                </c:pt>
                <c:pt idx="60">
                  <c:v>5.3509202999999998E-2</c:v>
                </c:pt>
                <c:pt idx="61">
                  <c:v>6.7420409999999998E-3</c:v>
                </c:pt>
                <c:pt idx="62">
                  <c:v>1.5433644E-2</c:v>
                </c:pt>
                <c:pt idx="63">
                  <c:v>1.460963E-3</c:v>
                </c:pt>
                <c:pt idx="64">
                  <c:v>1.0406230000000001E-2</c:v>
                </c:pt>
                <c:pt idx="65">
                  <c:v>-2.0042401000000001E-2</c:v>
                </c:pt>
                <c:pt idx="66">
                  <c:v>-1.2119978999999999E-2</c:v>
                </c:pt>
                <c:pt idx="67">
                  <c:v>6.0525690042820502E-3</c:v>
                </c:pt>
                <c:pt idx="68">
                  <c:v>1.5142348E-2</c:v>
                </c:pt>
                <c:pt idx="69">
                  <c:v>-2.5344873E-2</c:v>
                </c:pt>
                <c:pt idx="70">
                  <c:v>5.6781623000000003E-2</c:v>
                </c:pt>
                <c:pt idx="71">
                  <c:v>-5.4011653310640003E-3</c:v>
                </c:pt>
                <c:pt idx="72">
                  <c:v>-3.8568974999999998E-2</c:v>
                </c:pt>
                <c:pt idx="73">
                  <c:v>3.4670172662481603E-2</c:v>
                </c:pt>
                <c:pt idx="74">
                  <c:v>-2.8395118E-2</c:v>
                </c:pt>
                <c:pt idx="75">
                  <c:v>-6.3265660000000001E-2</c:v>
                </c:pt>
                <c:pt idx="76">
                  <c:v>1.3844949E-2</c:v>
                </c:pt>
                <c:pt idx="77">
                  <c:v>-4.1044239999999997E-3</c:v>
                </c:pt>
                <c:pt idx="78">
                  <c:v>9.7701679999999992E-3</c:v>
                </c:pt>
                <c:pt idx="79">
                  <c:v>2.9572556E-2</c:v>
                </c:pt>
                <c:pt idx="80">
                  <c:v>1.303495E-3</c:v>
                </c:pt>
                <c:pt idx="81">
                  <c:v>2.4086357999999999E-2</c:v>
                </c:pt>
                <c:pt idx="82">
                  <c:v>1.9391110999999999E-2</c:v>
                </c:pt>
                <c:pt idx="83">
                  <c:v>1.107463E-2</c:v>
                </c:pt>
                <c:pt idx="84">
                  <c:v>-0.12611281999999999</c:v>
                </c:pt>
                <c:pt idx="85">
                  <c:v>8.3299399999999996E-2</c:v>
                </c:pt>
                <c:pt idx="86">
                  <c:v>5.3044991E-2</c:v>
                </c:pt>
                <c:pt idx="87">
                  <c:v>0.16592969934156501</c:v>
                </c:pt>
                <c:pt idx="88">
                  <c:v>6.7407399999999998E-4</c:v>
                </c:pt>
                <c:pt idx="89">
                  <c:v>2.4550134000000001E-2</c:v>
                </c:pt>
                <c:pt idx="90">
                  <c:v>5.9860110000000003E-3</c:v>
                </c:pt>
                <c:pt idx="91">
                  <c:v>-1.7635544999999999E-2</c:v>
                </c:pt>
                <c:pt idx="92">
                  <c:v>4.0100603999999998E-2</c:v>
                </c:pt>
                <c:pt idx="93">
                  <c:v>0.120044941</c:v>
                </c:pt>
                <c:pt idx="94">
                  <c:v>-1.7104668999999999E-2</c:v>
                </c:pt>
                <c:pt idx="95">
                  <c:v>1.5842801839198801E-2</c:v>
                </c:pt>
                <c:pt idx="96">
                  <c:v>3.5603366999999997E-2</c:v>
                </c:pt>
                <c:pt idx="97">
                  <c:v>4.14028802879731E-2</c:v>
                </c:pt>
                <c:pt idx="98">
                  <c:v>-5.8174560000000004E-3</c:v>
                </c:pt>
                <c:pt idx="99">
                  <c:v>2.6482929999999999E-3</c:v>
                </c:pt>
                <c:pt idx="100">
                  <c:v>-1.8783286E-2</c:v>
                </c:pt>
                <c:pt idx="101">
                  <c:v>1.0198390999999999E-2</c:v>
                </c:pt>
                <c:pt idx="102">
                  <c:v>0.131530653836712</c:v>
                </c:pt>
                <c:pt idx="103">
                  <c:v>9.1471050999999998E-2</c:v>
                </c:pt>
                <c:pt idx="104">
                  <c:v>4.3124864998968802E-2</c:v>
                </c:pt>
                <c:pt idx="105">
                  <c:v>2.022973E-3</c:v>
                </c:pt>
                <c:pt idx="106">
                  <c:v>-1.5205866E-2</c:v>
                </c:pt>
                <c:pt idx="107">
                  <c:v>5.1101800000000002E-4</c:v>
                </c:pt>
              </c:numCache>
            </c:numRef>
          </c:xVal>
          <c:yVal>
            <c:numRef>
              <c:f>'direct TRS_TA_conversion'!$K$2:$K$109</c:f>
              <c:numCache>
                <c:formatCode>General</c:formatCode>
                <c:ptCount val="108"/>
                <c:pt idx="0">
                  <c:v>1.2413841741116699E-2</c:v>
                </c:pt>
                <c:pt idx="1">
                  <c:v>-2.41673047426951E-2</c:v>
                </c:pt>
                <c:pt idx="2">
                  <c:v>4.2973934854613503E-2</c:v>
                </c:pt>
                <c:pt idx="3">
                  <c:v>3.3057940229297499E-2</c:v>
                </c:pt>
                <c:pt idx="4">
                  <c:v>1.08561263074053E-2</c:v>
                </c:pt>
                <c:pt idx="5">
                  <c:v>8.5532994835192701E-3</c:v>
                </c:pt>
                <c:pt idx="6">
                  <c:v>1.2908177080061201E-2</c:v>
                </c:pt>
                <c:pt idx="7">
                  <c:v>6.53324274882111E-3</c:v>
                </c:pt>
                <c:pt idx="8">
                  <c:v>-2.00788567110721E-2</c:v>
                </c:pt>
                <c:pt idx="9">
                  <c:v>-2.7134725296359501E-2</c:v>
                </c:pt>
                <c:pt idx="10">
                  <c:v>-2.8905742078317299E-2</c:v>
                </c:pt>
                <c:pt idx="11">
                  <c:v>1.6116331055357799E-2</c:v>
                </c:pt>
                <c:pt idx="12">
                  <c:v>-2.39836602061415E-3</c:v>
                </c:pt>
                <c:pt idx="13">
                  <c:v>6.9414430610397699E-3</c:v>
                </c:pt>
                <c:pt idx="14">
                  <c:v>2.0812699027707899E-2</c:v>
                </c:pt>
                <c:pt idx="15">
                  <c:v>1.8982017274973E-2</c:v>
                </c:pt>
                <c:pt idx="16">
                  <c:v>1.2019822841721799E-2</c:v>
                </c:pt>
                <c:pt idx="17">
                  <c:v>2.4058560174373401E-2</c:v>
                </c:pt>
                <c:pt idx="18">
                  <c:v>-6.4494924790824302E-3</c:v>
                </c:pt>
                <c:pt idx="19">
                  <c:v>1.0733262766646601E-2</c:v>
                </c:pt>
                <c:pt idx="20">
                  <c:v>7.5816086286142398E-3</c:v>
                </c:pt>
                <c:pt idx="21">
                  <c:v>2.0326467689790399E-2</c:v>
                </c:pt>
                <c:pt idx="22">
                  <c:v>-9.6412216514619297E-3</c:v>
                </c:pt>
                <c:pt idx="23">
                  <c:v>1.27175012799577E-2</c:v>
                </c:pt>
                <c:pt idx="24">
                  <c:v>1.39305497730017E-2</c:v>
                </c:pt>
                <c:pt idx="25">
                  <c:v>-2.64601581820057E-2</c:v>
                </c:pt>
                <c:pt idx="26">
                  <c:v>1.81326731329472E-2</c:v>
                </c:pt>
                <c:pt idx="27">
                  <c:v>-1.38234882413334E-2</c:v>
                </c:pt>
                <c:pt idx="28">
                  <c:v>2.9913395337355E-2</c:v>
                </c:pt>
                <c:pt idx="29">
                  <c:v>2.01578739926783E-2</c:v>
                </c:pt>
                <c:pt idx="30">
                  <c:v>2.5701433681035599E-2</c:v>
                </c:pt>
                <c:pt idx="31">
                  <c:v>2.6115458352868499E-2</c:v>
                </c:pt>
                <c:pt idx="32">
                  <c:v>3.2011363669934803E-2</c:v>
                </c:pt>
                <c:pt idx="33">
                  <c:v>1.89324526398221E-2</c:v>
                </c:pt>
                <c:pt idx="34">
                  <c:v>2.7143395712643402E-3</c:v>
                </c:pt>
                <c:pt idx="35">
                  <c:v>3.6089969539724702E-2</c:v>
                </c:pt>
                <c:pt idx="36">
                  <c:v>4.2286303987895998E-2</c:v>
                </c:pt>
                <c:pt idx="37">
                  <c:v>6.3146466211990897E-3</c:v>
                </c:pt>
                <c:pt idx="38">
                  <c:v>-1.25553659580204E-2</c:v>
                </c:pt>
                <c:pt idx="39">
                  <c:v>2.0591094836226401E-2</c:v>
                </c:pt>
                <c:pt idx="40" formatCode="0.00E+00">
                  <c:v>9.4101632769988505E-5</c:v>
                </c:pt>
                <c:pt idx="41">
                  <c:v>9.3322229456923693E-3</c:v>
                </c:pt>
                <c:pt idx="42">
                  <c:v>1.10094749955672E-2</c:v>
                </c:pt>
                <c:pt idx="43">
                  <c:v>1.7273457532211801E-2</c:v>
                </c:pt>
                <c:pt idx="44">
                  <c:v>3.1618178212614099E-3</c:v>
                </c:pt>
                <c:pt idx="45">
                  <c:v>1.42046620255647E-2</c:v>
                </c:pt>
                <c:pt idx="46">
                  <c:v>-6.1437943912702698E-3</c:v>
                </c:pt>
                <c:pt idx="47">
                  <c:v>2.5216940669163201E-2</c:v>
                </c:pt>
                <c:pt idx="48">
                  <c:v>1.1015254705321199E-2</c:v>
                </c:pt>
                <c:pt idx="49">
                  <c:v>-1.4846282031999201E-2</c:v>
                </c:pt>
                <c:pt idx="50">
                  <c:v>5.7029926209056503E-2</c:v>
                </c:pt>
                <c:pt idx="51">
                  <c:v>-1.4639313744635601E-2</c:v>
                </c:pt>
                <c:pt idx="52">
                  <c:v>4.10765014642943E-4</c:v>
                </c:pt>
                <c:pt idx="53">
                  <c:v>4.1081893233936101E-2</c:v>
                </c:pt>
                <c:pt idx="54">
                  <c:v>6.3393171516834702E-3</c:v>
                </c:pt>
                <c:pt idx="55">
                  <c:v>3.6649091165670201E-2</c:v>
                </c:pt>
                <c:pt idx="56">
                  <c:v>-1.97903647992419E-2</c:v>
                </c:pt>
                <c:pt idx="57">
                  <c:v>3.1340133798776301E-2</c:v>
                </c:pt>
                <c:pt idx="58">
                  <c:v>7.6622413071815599E-3</c:v>
                </c:pt>
                <c:pt idx="59">
                  <c:v>3.9261661812911103E-2</c:v>
                </c:pt>
                <c:pt idx="60">
                  <c:v>9.5206290271869099E-3</c:v>
                </c:pt>
                <c:pt idx="61">
                  <c:v>2.9427610191196302E-2</c:v>
                </c:pt>
                <c:pt idx="62">
                  <c:v>1.8199919270726901E-2</c:v>
                </c:pt>
                <c:pt idx="63">
                  <c:v>1.41320796652495E-3</c:v>
                </c:pt>
                <c:pt idx="64">
                  <c:v>2.2043282040564102E-2</c:v>
                </c:pt>
                <c:pt idx="65">
                  <c:v>-1.0175343702905199E-2</c:v>
                </c:pt>
                <c:pt idx="66">
                  <c:v>1.9272610040733201E-2</c:v>
                </c:pt>
                <c:pt idx="67">
                  <c:v>4.6651785002488396E-3</c:v>
                </c:pt>
                <c:pt idx="68">
                  <c:v>2.55615335610701E-3</c:v>
                </c:pt>
                <c:pt idx="69">
                  <c:v>-1.11041245566104E-2</c:v>
                </c:pt>
                <c:pt idx="70">
                  <c:v>5.0251427361933498E-2</c:v>
                </c:pt>
                <c:pt idx="71">
                  <c:v>-5.9596892524018596E-3</c:v>
                </c:pt>
                <c:pt idx="72">
                  <c:v>2.3312898648467199E-2</c:v>
                </c:pt>
                <c:pt idx="73">
                  <c:v>1.7662354487951601E-2</c:v>
                </c:pt>
                <c:pt idx="74">
                  <c:v>3.4323741884659401E-3</c:v>
                </c:pt>
                <c:pt idx="75">
                  <c:v>-2.6335568534100001E-2</c:v>
                </c:pt>
                <c:pt idx="76">
                  <c:v>-1.0104629710979401E-2</c:v>
                </c:pt>
                <c:pt idx="77">
                  <c:v>1.33126252918971E-2</c:v>
                </c:pt>
                <c:pt idx="78">
                  <c:v>1.7636629659249298E-2</c:v>
                </c:pt>
                <c:pt idx="79">
                  <c:v>4.9387566889358397E-3</c:v>
                </c:pt>
                <c:pt idx="80">
                  <c:v>1.7952696702841699E-2</c:v>
                </c:pt>
                <c:pt idx="81">
                  <c:v>7.8396062203231493E-3</c:v>
                </c:pt>
                <c:pt idx="82">
                  <c:v>1.6543982536588699E-2</c:v>
                </c:pt>
                <c:pt idx="83">
                  <c:v>2.2564858105249701E-2</c:v>
                </c:pt>
                <c:pt idx="84">
                  <c:v>-4.50074993709772E-2</c:v>
                </c:pt>
                <c:pt idx="85">
                  <c:v>5.4249143741425497E-2</c:v>
                </c:pt>
                <c:pt idx="86">
                  <c:v>3.2960261594006397E-2</c:v>
                </c:pt>
                <c:pt idx="87">
                  <c:v>6.1718679746380199E-2</c:v>
                </c:pt>
                <c:pt idx="88">
                  <c:v>2.6399509039811E-2</c:v>
                </c:pt>
                <c:pt idx="89">
                  <c:v>1.9617102934498799E-2</c:v>
                </c:pt>
                <c:pt idx="90">
                  <c:v>6.9733299213721803E-3</c:v>
                </c:pt>
                <c:pt idx="91">
                  <c:v>-1.1936915122475999E-2</c:v>
                </c:pt>
                <c:pt idx="92">
                  <c:v>3.7675253562540797E-2</c:v>
                </c:pt>
                <c:pt idx="93">
                  <c:v>6.9660521447596005E-2</c:v>
                </c:pt>
                <c:pt idx="94">
                  <c:v>-3.94422388031569E-2</c:v>
                </c:pt>
                <c:pt idx="95">
                  <c:v>1.2796433372901201E-2</c:v>
                </c:pt>
                <c:pt idx="96">
                  <c:v>2.70229921011409E-2</c:v>
                </c:pt>
                <c:pt idx="97">
                  <c:v>1.1496293320120801E-2</c:v>
                </c:pt>
                <c:pt idx="98">
                  <c:v>-5.6982282422337804E-3</c:v>
                </c:pt>
                <c:pt idx="99">
                  <c:v>-2.46456242917716E-3</c:v>
                </c:pt>
                <c:pt idx="100">
                  <c:v>-5.8683400421024297E-3</c:v>
                </c:pt>
                <c:pt idx="101">
                  <c:v>2.72278622245937E-2</c:v>
                </c:pt>
                <c:pt idx="102">
                  <c:v>3.8683246119870597E-2</c:v>
                </c:pt>
                <c:pt idx="103">
                  <c:v>6.7703459239924602E-2</c:v>
                </c:pt>
                <c:pt idx="104">
                  <c:v>1.2665413276627801E-3</c:v>
                </c:pt>
                <c:pt idx="105">
                  <c:v>-5.6370171918328302E-3</c:v>
                </c:pt>
                <c:pt idx="106">
                  <c:v>-1.44985658785583E-2</c:v>
                </c:pt>
                <c:pt idx="107">
                  <c:v>1.7119499845751E-3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CB-2242-BBC9-691C66CAB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496192"/>
        <c:axId val="1882763264"/>
      </c:scatterChart>
      <c:valAx>
        <c:axId val="175849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763264"/>
        <c:crosses val="autoZero"/>
        <c:crossBetween val="midCat"/>
      </c:valAx>
      <c:valAx>
        <c:axId val="18827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9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133350</xdr:colOff>
      <xdr:row>4</xdr:row>
      <xdr:rowOff>44450</xdr:rowOff>
    </xdr:from>
    <xdr:to>
      <xdr:col>23</xdr:col>
      <xdr:colOff>577850</xdr:colOff>
      <xdr:row>17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26859-67A4-D5C7-F59B-ADD79084D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514350</xdr:colOff>
      <xdr:row>20</xdr:row>
      <xdr:rowOff>57150</xdr:rowOff>
    </xdr:from>
    <xdr:to>
      <xdr:col>20</xdr:col>
      <xdr:colOff>660400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5B31C-A7D1-0DA6-8B38-B1759CC87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438150</xdr:colOff>
      <xdr:row>1</xdr:row>
      <xdr:rowOff>31750</xdr:rowOff>
    </xdr:from>
    <xdr:to>
      <xdr:col>21</xdr:col>
      <xdr:colOff>520700</xdr:colOff>
      <xdr:row>19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F9C0C-DAFD-8BDF-E07B-B6CAC0CFC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400050</xdr:colOff>
      <xdr:row>24</xdr:row>
      <xdr:rowOff>184150</xdr:rowOff>
    </xdr:from>
    <xdr:to>
      <xdr:col>21</xdr:col>
      <xdr:colOff>355600</xdr:colOff>
      <xdr:row>38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41F120-4740-9CA7-2D68-279DCA784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514350</xdr:colOff>
      <xdr:row>38</xdr:row>
      <xdr:rowOff>107950</xdr:rowOff>
    </xdr:from>
    <xdr:to>
      <xdr:col>21</xdr:col>
      <xdr:colOff>444500</xdr:colOff>
      <xdr:row>52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A86777-5341-9D2E-FD19-67014BE39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8"/>
  <sheetViews>
    <sheetView topLeftCell="A91" workbookViewId="0">
      <selection activeCell="I2" sqref="I2:J109"/>
    </sheetView>
  </sheetViews>
  <sheetFormatPr baseColWidth="10" defaultRowHeight="16" x14ac:dyDescent="0.2"/>
  <cols>
    <col min="16" max="16" width="22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77</v>
      </c>
      <c r="J1" t="s">
        <v>78</v>
      </c>
      <c r="K1" t="s">
        <v>153</v>
      </c>
      <c r="L1" t="s">
        <v>154</v>
      </c>
      <c r="M1" t="s">
        <v>6</v>
      </c>
      <c r="N1" t="s">
        <v>7</v>
      </c>
      <c r="Y1" t="s">
        <v>156</v>
      </c>
    </row>
    <row r="2" spans="1:26" x14ac:dyDescent="0.2">
      <c r="A2" t="s">
        <v>79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I2">
        <v>2.24836611186511E-4</v>
      </c>
      <c r="J2">
        <v>0.99063587669877395</v>
      </c>
      <c r="K2">
        <v>9.4705831990140408E-3</v>
      </c>
      <c r="L2">
        <v>0.50300780828373104</v>
      </c>
      <c r="M2">
        <v>2.24836611186511E-4</v>
      </c>
      <c r="N2">
        <v>0.99063587669877395</v>
      </c>
      <c r="Y2">
        <v>0.58497103855148402</v>
      </c>
      <c r="Z2">
        <f>AVERAGE(Y2:Y109)</f>
        <v>0.71033955914811664</v>
      </c>
    </row>
    <row r="3" spans="1:26" x14ac:dyDescent="0.2">
      <c r="A3" t="s">
        <v>80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I3">
        <v>-3.3349255280671897E-2</v>
      </c>
      <c r="J3">
        <v>4.0982094078651797E-2</v>
      </c>
      <c r="K3">
        <v>-3.1895717195041799E-2</v>
      </c>
      <c r="L3">
        <v>2.2887155891569001E-3</v>
      </c>
      <c r="M3">
        <v>-3.3349255280671897E-2</v>
      </c>
      <c r="N3">
        <v>4.0982094078651797E-2</v>
      </c>
      <c r="Y3">
        <v>0.68748639373221598</v>
      </c>
    </row>
    <row r="4" spans="1:26" x14ac:dyDescent="0.2">
      <c r="A4" t="s">
        <v>38</v>
      </c>
      <c r="B4">
        <v>4.5983729376128704</v>
      </c>
      <c r="C4">
        <v>0.123131374934146</v>
      </c>
      <c r="D4">
        <v>2019</v>
      </c>
      <c r="E4">
        <v>14</v>
      </c>
      <c r="F4">
        <v>9</v>
      </c>
      <c r="G4">
        <v>1.1375384478244601E-2</v>
      </c>
      <c r="H4">
        <v>0.52833281558266498</v>
      </c>
      <c r="I4">
        <v>1.1375384478244601E-2</v>
      </c>
      <c r="J4">
        <v>0.52833281558266498</v>
      </c>
      <c r="K4">
        <v>1.34821837884983E-2</v>
      </c>
      <c r="L4">
        <v>0.31227325732707001</v>
      </c>
      <c r="M4">
        <v>1.09097783063626E-2</v>
      </c>
      <c r="N4">
        <v>0.202838816277988</v>
      </c>
      <c r="O4" t="s">
        <v>45</v>
      </c>
      <c r="P4" t="s">
        <v>47</v>
      </c>
      <c r="Y4">
        <v>0.77755916175475603</v>
      </c>
    </row>
    <row r="5" spans="1:26" x14ac:dyDescent="0.2">
      <c r="A5" t="s">
        <v>81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I5">
        <v>2.7096594959356901E-2</v>
      </c>
      <c r="J5">
        <v>3.1243572090517101E-2</v>
      </c>
      <c r="K5">
        <v>1.89161545790901E-2</v>
      </c>
      <c r="L5">
        <v>3.1950963993171898E-2</v>
      </c>
      <c r="M5">
        <v>2.7096594959356901E-2</v>
      </c>
      <c r="N5">
        <v>3.1243572090517101E-2</v>
      </c>
      <c r="Y5">
        <v>0.68768391263738804</v>
      </c>
    </row>
    <row r="6" spans="1:26" x14ac:dyDescent="0.2">
      <c r="A6" t="s">
        <v>39</v>
      </c>
      <c r="B6">
        <v>2.0720710085124798</v>
      </c>
      <c r="C6">
        <v>0.45525208688059599</v>
      </c>
      <c r="D6">
        <v>2011</v>
      </c>
      <c r="E6">
        <v>14</v>
      </c>
      <c r="F6">
        <v>14</v>
      </c>
      <c r="G6">
        <v>2.1242249909973199E-2</v>
      </c>
      <c r="H6">
        <v>0.33287525731971201</v>
      </c>
      <c r="I6">
        <v>2.1242249909973199E-2</v>
      </c>
      <c r="J6">
        <v>0.33287525731971201</v>
      </c>
      <c r="K6">
        <v>-4.6070149866274201E-4</v>
      </c>
      <c r="L6">
        <v>0.96004287116272802</v>
      </c>
      <c r="M6">
        <v>-1.5774629314773199E-2</v>
      </c>
      <c r="N6">
        <v>0.32038854214498702</v>
      </c>
      <c r="O6" t="s">
        <v>45</v>
      </c>
      <c r="P6" t="s">
        <v>48</v>
      </c>
      <c r="Y6">
        <v>0.59736804439412505</v>
      </c>
    </row>
    <row r="7" spans="1:26" x14ac:dyDescent="0.2">
      <c r="A7" t="s">
        <v>82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I7">
        <v>-0.11454579378991001</v>
      </c>
      <c r="J7" s="1">
        <v>1.3044008192551601E-6</v>
      </c>
      <c r="K7">
        <v>-3.6486756491621697E-2</v>
      </c>
      <c r="L7">
        <v>7.1074549771708004E-2</v>
      </c>
      <c r="M7">
        <v>-0.11454579378991001</v>
      </c>
      <c r="N7" s="1">
        <v>1.3044008192551601E-6</v>
      </c>
      <c r="Y7">
        <v>0.99944077294350198</v>
      </c>
    </row>
    <row r="8" spans="1:26" x14ac:dyDescent="0.2">
      <c r="A8" t="s">
        <v>83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I8">
        <v>-2.4441256353759301E-2</v>
      </c>
      <c r="J8">
        <v>1.4939777762476601E-2</v>
      </c>
      <c r="K8">
        <v>-1.13617517143897E-2</v>
      </c>
      <c r="L8">
        <v>0.113912583878303</v>
      </c>
      <c r="M8">
        <v>-2.4441256353759301E-2</v>
      </c>
      <c r="N8">
        <v>1.4939777762476601E-2</v>
      </c>
      <c r="Y8">
        <v>0.71475645243700803</v>
      </c>
    </row>
    <row r="9" spans="1:26" x14ac:dyDescent="0.2">
      <c r="A9" t="s">
        <v>84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I9">
        <v>1.9531249718922099E-2</v>
      </c>
      <c r="J9">
        <v>0.107684949379117</v>
      </c>
      <c r="K9">
        <v>-1.6275858513676699E-3</v>
      </c>
      <c r="L9">
        <v>0.86757104666746399</v>
      </c>
      <c r="M9">
        <v>1.9531249718922099E-2</v>
      </c>
      <c r="N9">
        <v>0.107684949379117</v>
      </c>
      <c r="Y9">
        <v>0.89866265582750604</v>
      </c>
    </row>
    <row r="10" spans="1:26" x14ac:dyDescent="0.2">
      <c r="A10" t="s">
        <v>85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I10">
        <v>-0.17589537697235799</v>
      </c>
      <c r="J10">
        <v>2.8888456066294898E-3</v>
      </c>
      <c r="K10">
        <v>-0.13927877040411801</v>
      </c>
      <c r="L10">
        <v>9.9368369555215101E-3</v>
      </c>
      <c r="M10">
        <v>-0.17589537697235799</v>
      </c>
      <c r="N10">
        <v>2.8888456066294898E-3</v>
      </c>
      <c r="Y10">
        <v>1.1572626445665199</v>
      </c>
    </row>
    <row r="11" spans="1:26" x14ac:dyDescent="0.2">
      <c r="A11" t="s">
        <v>86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I11">
        <v>-0.135723154540625</v>
      </c>
      <c r="J11" s="1">
        <v>9.2389392654574697E-11</v>
      </c>
      <c r="K11">
        <v>-0.15839638667538999</v>
      </c>
      <c r="L11" s="1">
        <v>2.8725211162851101E-7</v>
      </c>
      <c r="M11">
        <v>-0.135723154540625</v>
      </c>
      <c r="N11" s="1">
        <v>9.2389392654574697E-11</v>
      </c>
      <c r="Y11">
        <v>1.04679144782947</v>
      </c>
    </row>
    <row r="12" spans="1:26" x14ac:dyDescent="0.2">
      <c r="A12" t="s">
        <v>40</v>
      </c>
      <c r="B12">
        <v>1.1491871463335499</v>
      </c>
      <c r="C12">
        <v>0.634772170571685</v>
      </c>
      <c r="D12">
        <v>2007</v>
      </c>
      <c r="E12">
        <v>14</v>
      </c>
      <c r="F12">
        <v>12</v>
      </c>
      <c r="G12">
        <v>-9.67957714896341E-2</v>
      </c>
      <c r="H12" s="1">
        <v>1.45287592191649E-12</v>
      </c>
      <c r="I12">
        <v>-9.67957714896341E-2</v>
      </c>
      <c r="J12" s="1">
        <v>1.45287592191649E-12</v>
      </c>
      <c r="K12">
        <v>-8.30048438816232E-2</v>
      </c>
      <c r="L12" s="1">
        <v>2.0438827975367199E-12</v>
      </c>
      <c r="M12">
        <v>-8.3299455386903296E-2</v>
      </c>
      <c r="N12" s="1">
        <v>9.6328621941494398E-17</v>
      </c>
      <c r="O12" t="s">
        <v>45</v>
      </c>
      <c r="P12" t="s">
        <v>49</v>
      </c>
      <c r="Y12">
        <v>0.80846916644676703</v>
      </c>
    </row>
    <row r="13" spans="1:26" x14ac:dyDescent="0.2">
      <c r="A13" t="s">
        <v>87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I13">
        <v>2.1021446181143901E-2</v>
      </c>
      <c r="J13">
        <v>0.14928580850150699</v>
      </c>
      <c r="K13">
        <v>-5.9784352514538402E-4</v>
      </c>
      <c r="L13">
        <v>0.94775660169043896</v>
      </c>
      <c r="M13">
        <v>2.1021446181143901E-2</v>
      </c>
      <c r="N13">
        <v>0.14928580850150699</v>
      </c>
      <c r="Y13">
        <v>0.57023748478758796</v>
      </c>
    </row>
    <row r="14" spans="1:26" x14ac:dyDescent="0.2">
      <c r="A14" t="s">
        <v>88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I14">
        <v>-3.7340229589220499E-3</v>
      </c>
      <c r="J14">
        <v>0.60368797468858404</v>
      </c>
      <c r="K14">
        <v>-2.52767728949171E-3</v>
      </c>
      <c r="L14">
        <v>0.61362272726206402</v>
      </c>
      <c r="M14">
        <v>-3.7340229589220499E-3</v>
      </c>
      <c r="N14">
        <v>0.60368797468858404</v>
      </c>
      <c r="Y14">
        <v>0.69132899740467502</v>
      </c>
    </row>
    <row r="15" spans="1:26" x14ac:dyDescent="0.2">
      <c r="A15" t="s">
        <v>41</v>
      </c>
      <c r="B15">
        <v>1.2499916167916301</v>
      </c>
      <c r="C15">
        <v>0.46346123042976101</v>
      </c>
      <c r="D15">
        <v>2015</v>
      </c>
      <c r="E15">
        <v>14</v>
      </c>
      <c r="F15">
        <v>10</v>
      </c>
      <c r="G15">
        <v>-4.7346433458116698E-2</v>
      </c>
      <c r="H15">
        <v>4.8474002185874998E-2</v>
      </c>
      <c r="I15">
        <v>-4.7346433458116698E-2</v>
      </c>
      <c r="J15">
        <v>4.8474002185874998E-2</v>
      </c>
      <c r="K15">
        <v>-2.08958669704222E-2</v>
      </c>
      <c r="L15">
        <v>7.8801562545686807E-2</v>
      </c>
      <c r="M15">
        <v>-3.25544874409004E-2</v>
      </c>
      <c r="N15">
        <v>1.9877897253321101E-3</v>
      </c>
      <c r="O15" t="s">
        <v>45</v>
      </c>
      <c r="P15" t="s">
        <v>50</v>
      </c>
      <c r="Y15">
        <v>0.83037461035673898</v>
      </c>
    </row>
    <row r="16" spans="1:26" x14ac:dyDescent="0.2">
      <c r="A16" t="s">
        <v>42</v>
      </c>
      <c r="B16">
        <v>1.1277875261616199</v>
      </c>
      <c r="C16">
        <v>0.81428641977622596</v>
      </c>
      <c r="D16">
        <v>2019</v>
      </c>
      <c r="E16">
        <v>14</v>
      </c>
      <c r="F16">
        <v>18</v>
      </c>
      <c r="G16">
        <v>1.37803385804864E-2</v>
      </c>
      <c r="H16">
        <v>0.34369282569027998</v>
      </c>
      <c r="I16">
        <v>-3.2086091274209499E-2</v>
      </c>
      <c r="J16">
        <v>1.64451443295376E-2</v>
      </c>
      <c r="K16">
        <v>9.5154519340935398E-3</v>
      </c>
      <c r="L16">
        <v>0.35810264143225101</v>
      </c>
      <c r="M16">
        <v>-3.2086091274209499E-2</v>
      </c>
      <c r="N16">
        <v>1.64451443295376E-2</v>
      </c>
      <c r="O16" t="s">
        <v>46</v>
      </c>
      <c r="P16" t="s">
        <v>51</v>
      </c>
      <c r="Y16">
        <v>0.983085424786863</v>
      </c>
    </row>
    <row r="17" spans="1:25" x14ac:dyDescent="0.2">
      <c r="A17" t="s">
        <v>89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I17">
        <v>-3.73835459743894E-2</v>
      </c>
      <c r="J17">
        <v>1.79158335965597E-3</v>
      </c>
      <c r="K17">
        <v>-1.16965727090484E-2</v>
      </c>
      <c r="L17">
        <v>7.0271098550270306E-2</v>
      </c>
      <c r="M17">
        <v>-3.73835459743894E-2</v>
      </c>
      <c r="N17">
        <v>1.79158335965597E-3</v>
      </c>
      <c r="Y17">
        <v>0.62469377523243896</v>
      </c>
    </row>
    <row r="18" spans="1:25" x14ac:dyDescent="0.2">
      <c r="A18" t="s">
        <v>90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I18">
        <v>1.7681097629632499E-2</v>
      </c>
      <c r="J18">
        <v>0.29590522472060798</v>
      </c>
      <c r="K18">
        <v>5.5737664152691498E-3</v>
      </c>
      <c r="L18">
        <v>0.63648544959665598</v>
      </c>
      <c r="M18">
        <v>1.7681097629632499E-2</v>
      </c>
      <c r="N18">
        <v>0.29590522472060798</v>
      </c>
      <c r="Y18">
        <v>0.64961044658855005</v>
      </c>
    </row>
    <row r="19" spans="1:25" x14ac:dyDescent="0.2">
      <c r="A19" t="s">
        <v>91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I19">
        <v>-4.4243926611218804E-3</v>
      </c>
      <c r="J19">
        <v>0.616527004729576</v>
      </c>
      <c r="K19">
        <v>7.5677262595062397E-3</v>
      </c>
      <c r="L19">
        <v>0.17551533095598501</v>
      </c>
      <c r="M19">
        <v>-4.4243926611218804E-3</v>
      </c>
      <c r="N19">
        <v>0.616527004729576</v>
      </c>
      <c r="Y19">
        <v>0.70832935054063295</v>
      </c>
    </row>
    <row r="20" spans="1:25" x14ac:dyDescent="0.2">
      <c r="A20" t="s">
        <v>92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I20">
        <v>-2.5500571138561998E-2</v>
      </c>
      <c r="J20">
        <v>1.0629574576574799E-2</v>
      </c>
      <c r="K20">
        <v>-1.7138964626454398E-2</v>
      </c>
      <c r="L20">
        <v>6.6111823674547699E-3</v>
      </c>
      <c r="M20">
        <v>-2.5500571138561998E-2</v>
      </c>
      <c r="N20">
        <v>1.0629574576574799E-2</v>
      </c>
      <c r="Y20">
        <v>0.65559788522502105</v>
      </c>
    </row>
    <row r="21" spans="1:25" x14ac:dyDescent="0.2">
      <c r="A21" t="s">
        <v>93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I21">
        <v>-1.9113592586199098E-2</v>
      </c>
      <c r="J21">
        <v>8.0769546334554104E-2</v>
      </c>
      <c r="K21">
        <v>-1.9186415640557002E-2</v>
      </c>
      <c r="L21">
        <v>8.5589339326466798E-2</v>
      </c>
      <c r="M21">
        <v>-1.9113592586199098E-2</v>
      </c>
      <c r="N21">
        <v>8.0769546334554104E-2</v>
      </c>
      <c r="Y21">
        <v>1.0161726232934301</v>
      </c>
    </row>
    <row r="22" spans="1:25" x14ac:dyDescent="0.2">
      <c r="A22" t="s">
        <v>43</v>
      </c>
      <c r="B22">
        <v>3.80089524124481</v>
      </c>
      <c r="C22">
        <v>0.287904778431674</v>
      </c>
      <c r="D22">
        <v>2015</v>
      </c>
      <c r="E22">
        <v>14</v>
      </c>
      <c r="F22">
        <v>7</v>
      </c>
      <c r="G22">
        <v>5.6458433684375402E-3</v>
      </c>
      <c r="H22">
        <v>0.86824564500170798</v>
      </c>
      <c r="I22">
        <v>-2.6807392002136301E-2</v>
      </c>
      <c r="J22">
        <v>0.25994671270665498</v>
      </c>
      <c r="K22">
        <v>1.25513812279195E-4</v>
      </c>
      <c r="L22">
        <v>0.992879368668381</v>
      </c>
      <c r="M22">
        <v>-2.6807392002136301E-2</v>
      </c>
      <c r="N22">
        <v>0.25994671270665498</v>
      </c>
      <c r="O22" t="s">
        <v>46</v>
      </c>
      <c r="Y22">
        <v>0.69572368778314198</v>
      </c>
    </row>
    <row r="23" spans="1:25" x14ac:dyDescent="0.2">
      <c r="A23" t="s">
        <v>94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I23">
        <v>-0.17512408814274399</v>
      </c>
      <c r="J23">
        <v>9.8029827637338197E-4</v>
      </c>
      <c r="K23">
        <v>-0.16493621021684099</v>
      </c>
      <c r="L23">
        <v>1.6865284127340599E-3</v>
      </c>
      <c r="M23">
        <v>-0.17512408814274399</v>
      </c>
      <c r="N23">
        <v>9.8029827637338197E-4</v>
      </c>
      <c r="Y23">
        <v>1.28987689388893</v>
      </c>
    </row>
    <row r="24" spans="1:25" x14ac:dyDescent="0.2">
      <c r="A24" t="s">
        <v>44</v>
      </c>
      <c r="B24">
        <v>2.1341765340168899</v>
      </c>
      <c r="C24">
        <v>9.9169760187772696E-2</v>
      </c>
      <c r="D24">
        <v>2015</v>
      </c>
      <c r="E24">
        <v>14</v>
      </c>
      <c r="F24">
        <v>4</v>
      </c>
      <c r="I24">
        <v>-8.870749E-2</v>
      </c>
      <c r="J24">
        <v>0.51800230000000003</v>
      </c>
      <c r="K24">
        <v>-2.33776004718372E-2</v>
      </c>
      <c r="L24">
        <v>0.578166656484987</v>
      </c>
      <c r="M24">
        <v>-0.22018847271126099</v>
      </c>
      <c r="N24">
        <v>1.7627247486245901E-3</v>
      </c>
      <c r="O24" t="s">
        <v>46</v>
      </c>
      <c r="P24" s="2" t="s">
        <v>52</v>
      </c>
      <c r="R24" t="s">
        <v>155</v>
      </c>
      <c r="S24" s="3">
        <v>-0.22018847271126099</v>
      </c>
      <c r="T24" s="3">
        <v>1.7627247486245901E-3</v>
      </c>
      <c r="U24">
        <v>-0.14776120000000001</v>
      </c>
      <c r="V24">
        <v>0.1262974</v>
      </c>
      <c r="Y24">
        <v>0.417234746818053</v>
      </c>
    </row>
    <row r="25" spans="1:25" x14ac:dyDescent="0.2">
      <c r="A25" t="s">
        <v>95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I25">
        <v>-3.2482386400391498E-3</v>
      </c>
      <c r="J25">
        <v>0.86076532536067096</v>
      </c>
      <c r="K25">
        <v>1.8115943322038901E-2</v>
      </c>
      <c r="L25">
        <v>0.167604175234362</v>
      </c>
      <c r="M25">
        <v>-3.2482386400391498E-3</v>
      </c>
      <c r="N25">
        <v>0.86076532536067096</v>
      </c>
      <c r="Y25">
        <v>0.446912908922102</v>
      </c>
    </row>
    <row r="26" spans="1:25" x14ac:dyDescent="0.2">
      <c r="A26" t="s">
        <v>96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I26">
        <v>-9.8592108595205504E-3</v>
      </c>
      <c r="J26">
        <v>0.74864655247610801</v>
      </c>
      <c r="K26">
        <v>2.63182628513106E-2</v>
      </c>
      <c r="L26">
        <v>1.23383739035047E-2</v>
      </c>
      <c r="M26">
        <v>-9.8592108595205504E-3</v>
      </c>
      <c r="N26">
        <v>0.74864655247610801</v>
      </c>
      <c r="Y26">
        <v>0.38983894371675598</v>
      </c>
    </row>
    <row r="27" spans="1:25" x14ac:dyDescent="0.2">
      <c r="A27" t="s">
        <v>97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I27">
        <v>-8.8705600080354094E-2</v>
      </c>
      <c r="J27" s="1">
        <v>2.0949261321667401E-8</v>
      </c>
      <c r="K27">
        <v>-9.2550865363367693E-2</v>
      </c>
      <c r="L27" s="1">
        <v>6.7643706506005303E-6</v>
      </c>
      <c r="M27">
        <v>-8.8705600080354094E-2</v>
      </c>
      <c r="N27" s="1">
        <v>2.0949261321667401E-8</v>
      </c>
      <c r="Y27">
        <v>1.0356025336782899</v>
      </c>
    </row>
    <row r="28" spans="1:25" x14ac:dyDescent="0.2">
      <c r="A28" t="s">
        <v>9</v>
      </c>
      <c r="B28">
        <v>1.8369866146003</v>
      </c>
      <c r="C28">
        <v>0.41200978068091498</v>
      </c>
      <c r="D28">
        <v>2016</v>
      </c>
      <c r="E28">
        <v>14</v>
      </c>
      <c r="F28">
        <v>8</v>
      </c>
      <c r="G28">
        <v>8.1286258389562192E-3</v>
      </c>
      <c r="H28">
        <v>0.56744228696439802</v>
      </c>
      <c r="I28">
        <v>8.1286258389562192E-3</v>
      </c>
      <c r="J28">
        <v>0.56744228696439802</v>
      </c>
      <c r="K28">
        <v>5.8021538153472203E-3</v>
      </c>
      <c r="L28">
        <v>0.53570343350373095</v>
      </c>
      <c r="M28">
        <v>-2.76096678051235E-2</v>
      </c>
      <c r="N28">
        <v>4.2741534372183103E-3</v>
      </c>
      <c r="O28" t="s">
        <v>45</v>
      </c>
      <c r="P28" t="s">
        <v>53</v>
      </c>
      <c r="Y28">
        <v>0.76824008743741601</v>
      </c>
    </row>
    <row r="29" spans="1:25" x14ac:dyDescent="0.2">
      <c r="A29" t="s">
        <v>10</v>
      </c>
      <c r="B29">
        <v>3.2765032717768099</v>
      </c>
      <c r="C29">
        <v>0.31278062858686001</v>
      </c>
      <c r="D29">
        <v>2010</v>
      </c>
      <c r="E29">
        <v>14</v>
      </c>
      <c r="F29">
        <v>7</v>
      </c>
      <c r="G29">
        <v>-7.7108400018517903E-2</v>
      </c>
      <c r="H29">
        <v>3.2133701742440501E-4</v>
      </c>
      <c r="I29">
        <v>-7.7108400018517903E-2</v>
      </c>
      <c r="J29">
        <v>3.2133701742440501E-4</v>
      </c>
      <c r="K29">
        <v>-4.9499314443252597E-2</v>
      </c>
      <c r="L29">
        <v>6.3065541371915403E-4</v>
      </c>
      <c r="M29">
        <v>-2.8731120591061001E-2</v>
      </c>
      <c r="N29">
        <v>4.2647073378745404E-3</v>
      </c>
      <c r="O29" t="s">
        <v>45</v>
      </c>
      <c r="P29" t="s">
        <v>54</v>
      </c>
      <c r="Y29">
        <v>0.86036371507907805</v>
      </c>
    </row>
    <row r="30" spans="1:25" x14ac:dyDescent="0.2">
      <c r="A30" t="s">
        <v>98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I30">
        <v>-6.1772428601959296E-3</v>
      </c>
      <c r="J30">
        <v>0.7309619424653</v>
      </c>
      <c r="K30">
        <v>-1.29255582301429E-2</v>
      </c>
      <c r="L30">
        <v>0.26057978618652999</v>
      </c>
      <c r="M30">
        <v>-6.1772428601959296E-3</v>
      </c>
      <c r="N30">
        <v>0.7309619424653</v>
      </c>
      <c r="Y30">
        <v>0.68983696605401901</v>
      </c>
    </row>
    <row r="31" spans="1:25" x14ac:dyDescent="0.2">
      <c r="A31" t="s">
        <v>99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I31">
        <v>-1.78341730754784E-2</v>
      </c>
      <c r="J31">
        <v>6.3595885468223701E-2</v>
      </c>
      <c r="K31">
        <v>7.7965419743630804E-3</v>
      </c>
      <c r="L31">
        <v>0.32391911787279698</v>
      </c>
      <c r="M31">
        <v>-1.78341730754784E-2</v>
      </c>
      <c r="N31">
        <v>6.3595885468223701E-2</v>
      </c>
      <c r="Y31">
        <v>0.68403647740150497</v>
      </c>
    </row>
    <row r="32" spans="1:25" x14ac:dyDescent="0.2">
      <c r="A32" t="s">
        <v>11</v>
      </c>
      <c r="B32">
        <v>3.5425173558823402</v>
      </c>
      <c r="C32">
        <v>0.129587228631349</v>
      </c>
      <c r="D32">
        <v>2006</v>
      </c>
      <c r="E32">
        <v>14</v>
      </c>
      <c r="F32">
        <v>9</v>
      </c>
      <c r="G32">
        <v>2.2454307881370799E-2</v>
      </c>
      <c r="H32">
        <v>0.360491181920991</v>
      </c>
      <c r="I32">
        <v>2.2454307881370799E-2</v>
      </c>
      <c r="J32">
        <v>0.360491181920991</v>
      </c>
      <c r="K32">
        <v>1.26793444541711E-2</v>
      </c>
      <c r="L32">
        <v>0.36626352549760499</v>
      </c>
      <c r="M32">
        <v>-5.4760851682927297E-2</v>
      </c>
      <c r="N32">
        <v>8.6392272598239794E-3</v>
      </c>
      <c r="O32" t="s">
        <v>45</v>
      </c>
      <c r="P32" t="s">
        <v>55</v>
      </c>
      <c r="Y32">
        <v>0.61244460985112603</v>
      </c>
    </row>
    <row r="33" spans="1:25" x14ac:dyDescent="0.2">
      <c r="A33" t="s">
        <v>100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I33">
        <v>-7.5819971260982603E-3</v>
      </c>
      <c r="J33">
        <v>0.64926945998943897</v>
      </c>
      <c r="K33">
        <v>-5.4368781460257295E-4</v>
      </c>
      <c r="L33">
        <v>0.95471390391314004</v>
      </c>
      <c r="M33">
        <v>-7.5819971260982603E-3</v>
      </c>
      <c r="N33">
        <v>0.64926945998943897</v>
      </c>
      <c r="Y33">
        <v>0.55226540455249296</v>
      </c>
    </row>
    <row r="34" spans="1:25" x14ac:dyDescent="0.2">
      <c r="A34" t="s">
        <v>101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I34">
        <v>-1.69322515748568E-2</v>
      </c>
      <c r="J34">
        <v>4.5584558250097003E-2</v>
      </c>
      <c r="K34">
        <v>1.35180771264145E-2</v>
      </c>
      <c r="L34">
        <v>7.1811797556651194E-2</v>
      </c>
      <c r="M34">
        <v>-1.69322515748568E-2</v>
      </c>
      <c r="N34">
        <v>4.5584558250097003E-2</v>
      </c>
      <c r="Y34">
        <v>0.81896741226856995</v>
      </c>
    </row>
    <row r="35" spans="1:25" x14ac:dyDescent="0.2">
      <c r="A35" t="s">
        <v>12</v>
      </c>
      <c r="B35">
        <v>2.7460371012742</v>
      </c>
      <c r="C35">
        <v>0.33931199529134298</v>
      </c>
      <c r="D35">
        <v>2023</v>
      </c>
      <c r="E35">
        <v>14</v>
      </c>
      <c r="F35">
        <v>15</v>
      </c>
      <c r="G35">
        <v>9.1416087550813593E-3</v>
      </c>
      <c r="H35">
        <v>0.34764506564018</v>
      </c>
      <c r="I35">
        <v>9.1416087550813593E-3</v>
      </c>
      <c r="J35">
        <v>0.34764506564018</v>
      </c>
      <c r="K35">
        <v>5.0458317343443602E-3</v>
      </c>
      <c r="L35">
        <v>0.476524760129861</v>
      </c>
      <c r="M35">
        <v>-7.5094847102156304E-2</v>
      </c>
      <c r="N35" s="1">
        <v>8.3605665180625598E-28</v>
      </c>
      <c r="O35" t="s">
        <v>45</v>
      </c>
      <c r="P35" t="s">
        <v>56</v>
      </c>
      <c r="Y35">
        <v>0.82851157783559903</v>
      </c>
    </row>
    <row r="36" spans="1:25" x14ac:dyDescent="0.2">
      <c r="A36" t="s">
        <v>102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I36">
        <v>3.3842285011062297E-2</v>
      </c>
      <c r="J36">
        <v>8.8305105979872803E-2</v>
      </c>
      <c r="K36">
        <v>2.00778735301622E-3</v>
      </c>
      <c r="L36">
        <v>0.87015428246068605</v>
      </c>
      <c r="M36">
        <v>3.3842285011062297E-2</v>
      </c>
      <c r="N36">
        <v>8.8305105979872803E-2</v>
      </c>
      <c r="Y36">
        <v>0.71007924660049204</v>
      </c>
    </row>
    <row r="37" spans="1:25" x14ac:dyDescent="0.2">
      <c r="A37" t="s">
        <v>103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I37">
        <v>-3.5596370481390298E-2</v>
      </c>
      <c r="J37">
        <v>4.96335067316181E-2</v>
      </c>
      <c r="K37">
        <v>-6.1274779356678701E-4</v>
      </c>
      <c r="L37">
        <v>0.96532489857092396</v>
      </c>
      <c r="M37">
        <v>-3.5596370481390298E-2</v>
      </c>
      <c r="N37">
        <v>4.96335067316181E-2</v>
      </c>
      <c r="Y37">
        <v>0.81063407733508397</v>
      </c>
    </row>
    <row r="38" spans="1:25" x14ac:dyDescent="0.2">
      <c r="A38" t="s">
        <v>104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I38">
        <v>2.90954429590276E-2</v>
      </c>
      <c r="J38">
        <v>8.7167944704407297E-3</v>
      </c>
      <c r="K38">
        <v>3.4229799962499599E-2</v>
      </c>
      <c r="L38" s="1">
        <v>2.1086121660008701E-5</v>
      </c>
      <c r="M38">
        <v>2.90954429590276E-2</v>
      </c>
      <c r="N38">
        <v>8.7167944704407297E-3</v>
      </c>
      <c r="Y38">
        <v>0.61541302857670499</v>
      </c>
    </row>
    <row r="39" spans="1:25" x14ac:dyDescent="0.2">
      <c r="A39" t="s">
        <v>13</v>
      </c>
      <c r="B39">
        <v>3.2234157779044099</v>
      </c>
      <c r="C39">
        <v>0.14233974431465499</v>
      </c>
      <c r="D39">
        <v>2010</v>
      </c>
      <c r="E39">
        <v>14</v>
      </c>
      <c r="F39">
        <v>8</v>
      </c>
      <c r="G39">
        <v>-2.0788174679279101E-2</v>
      </c>
      <c r="H39">
        <v>0.52403403332189802</v>
      </c>
      <c r="I39">
        <v>8.5559119392709694E-3</v>
      </c>
      <c r="J39">
        <v>0.710516687759285</v>
      </c>
      <c r="K39">
        <v>-8.7853448653866205E-3</v>
      </c>
      <c r="L39">
        <v>0.54906871298708204</v>
      </c>
      <c r="M39">
        <v>8.5559119392709694E-3</v>
      </c>
      <c r="N39">
        <v>0.710516687759285</v>
      </c>
      <c r="O39" t="s">
        <v>45</v>
      </c>
      <c r="Y39">
        <v>0.70962135036255003</v>
      </c>
    </row>
    <row r="40" spans="1:25" x14ac:dyDescent="0.2">
      <c r="A40" t="s">
        <v>14</v>
      </c>
      <c r="B40">
        <v>1.28241717667508</v>
      </c>
      <c r="C40">
        <v>0.632597574309957</v>
      </c>
      <c r="D40">
        <v>2008</v>
      </c>
      <c r="E40">
        <v>14</v>
      </c>
      <c r="F40">
        <v>11</v>
      </c>
      <c r="G40">
        <v>-1.93013147795832E-2</v>
      </c>
      <c r="H40">
        <v>0.32029682573642299</v>
      </c>
      <c r="I40">
        <v>-1.93013147795832E-2</v>
      </c>
      <c r="J40">
        <v>0.32029682573642299</v>
      </c>
      <c r="K40">
        <v>-8.4355925199811194E-3</v>
      </c>
      <c r="L40">
        <v>0.14531201689781101</v>
      </c>
      <c r="M40">
        <v>-4.0009961103505201E-2</v>
      </c>
      <c r="N40">
        <v>1.1171985524552901E-3</v>
      </c>
      <c r="O40" t="s">
        <v>45</v>
      </c>
      <c r="P40" t="s">
        <v>57</v>
      </c>
      <c r="Y40">
        <v>0.399210583632361</v>
      </c>
    </row>
    <row r="41" spans="1:25" x14ac:dyDescent="0.2">
      <c r="A41" t="s">
        <v>15</v>
      </c>
      <c r="B41">
        <v>1.63192013642634</v>
      </c>
      <c r="C41">
        <v>0.40251399957347</v>
      </c>
      <c r="D41">
        <v>2008</v>
      </c>
      <c r="E41">
        <v>14</v>
      </c>
      <c r="F41">
        <v>12</v>
      </c>
      <c r="G41">
        <v>1.15966371741308E-2</v>
      </c>
      <c r="H41">
        <v>0.427920413507763</v>
      </c>
      <c r="I41">
        <v>-1.4045373498159E-2</v>
      </c>
      <c r="J41">
        <v>0.16597501663213499</v>
      </c>
      <c r="K41">
        <v>2.7515549201742699E-3</v>
      </c>
      <c r="L41">
        <v>0.73285895343196705</v>
      </c>
      <c r="M41">
        <v>-1.4045373498159E-2</v>
      </c>
      <c r="N41">
        <v>0.16597501663213499</v>
      </c>
      <c r="O41" t="s">
        <v>46</v>
      </c>
      <c r="P41" t="s">
        <v>58</v>
      </c>
      <c r="Y41">
        <v>0.63048020919748804</v>
      </c>
    </row>
    <row r="42" spans="1:25" x14ac:dyDescent="0.2">
      <c r="A42" t="s">
        <v>16</v>
      </c>
      <c r="B42">
        <v>0.97491503034256199</v>
      </c>
      <c r="C42">
        <v>0.11366227742547801</v>
      </c>
      <c r="D42">
        <v>2016</v>
      </c>
      <c r="E42">
        <v>14</v>
      </c>
      <c r="F42">
        <v>18</v>
      </c>
      <c r="G42">
        <v>-0.104146303001874</v>
      </c>
      <c r="H42">
        <v>2.0338067537975998E-3</v>
      </c>
      <c r="I42">
        <v>-0.104146303001874</v>
      </c>
      <c r="J42" s="2">
        <v>2.0338067537975998E-3</v>
      </c>
      <c r="K42">
        <v>-0.112268804369032</v>
      </c>
      <c r="L42">
        <v>1.9974985682044101E-3</v>
      </c>
      <c r="M42" s="2">
        <v>-6.9754776564711005E-2</v>
      </c>
      <c r="N42" s="2">
        <v>4.8509798033650901E-2</v>
      </c>
      <c r="O42" s="2" t="s">
        <v>45</v>
      </c>
      <c r="P42" t="s">
        <v>59</v>
      </c>
      <c r="Y42">
        <v>1.4109048534647901</v>
      </c>
    </row>
    <row r="43" spans="1:25" x14ac:dyDescent="0.2">
      <c r="A43" t="s">
        <v>105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I43">
        <v>-5.0050128332722599E-2</v>
      </c>
      <c r="J43">
        <v>1.31087842887178E-3</v>
      </c>
      <c r="K43">
        <v>-7.1079618855241803E-3</v>
      </c>
      <c r="L43">
        <v>0.58180249310107401</v>
      </c>
      <c r="M43">
        <v>-5.0050128332722599E-2</v>
      </c>
      <c r="N43">
        <v>1.31087842887178E-3</v>
      </c>
      <c r="Y43">
        <v>1.03748470763528</v>
      </c>
    </row>
    <row r="44" spans="1:25" x14ac:dyDescent="0.2">
      <c r="A44" t="s">
        <v>17</v>
      </c>
      <c r="B44">
        <v>1.92991036443938</v>
      </c>
      <c r="C44">
        <v>0.30746843353252801</v>
      </c>
      <c r="D44">
        <v>2009</v>
      </c>
      <c r="E44">
        <v>14</v>
      </c>
      <c r="F44">
        <v>8</v>
      </c>
      <c r="G44">
        <v>-6.4575446890110504E-3</v>
      </c>
      <c r="H44">
        <v>0.492448780090807</v>
      </c>
      <c r="I44">
        <v>-6.4575446890110504E-3</v>
      </c>
      <c r="J44">
        <v>0.492448780090807</v>
      </c>
      <c r="K44">
        <v>-5.9023922687770304E-3</v>
      </c>
      <c r="L44">
        <v>0.48582354450369297</v>
      </c>
      <c r="M44">
        <v>-2.5496639125561899E-2</v>
      </c>
      <c r="N44">
        <v>1.16901551815441E-3</v>
      </c>
      <c r="O44" t="s">
        <v>45</v>
      </c>
      <c r="P44" t="s">
        <v>60</v>
      </c>
      <c r="Y44">
        <v>0.938394832741546</v>
      </c>
    </row>
    <row r="45" spans="1:25" x14ac:dyDescent="0.2">
      <c r="A45" t="s">
        <v>18</v>
      </c>
      <c r="B45">
        <v>4.2056811870626003</v>
      </c>
      <c r="C45">
        <v>0.103695244032064</v>
      </c>
      <c r="D45">
        <v>2021</v>
      </c>
      <c r="E45">
        <v>14</v>
      </c>
      <c r="F45">
        <v>8</v>
      </c>
      <c r="G45">
        <v>4.6867224404643797E-2</v>
      </c>
      <c r="H45">
        <v>0.31353270240672698</v>
      </c>
      <c r="I45">
        <v>4.6867224404643797E-2</v>
      </c>
      <c r="J45">
        <v>0.31353270240672698</v>
      </c>
      <c r="K45">
        <v>6.8568853161698898E-3</v>
      </c>
      <c r="L45">
        <v>0.65309288683762201</v>
      </c>
      <c r="M45">
        <v>-4.8234400255588498E-2</v>
      </c>
      <c r="N45">
        <v>3.8091730293960102E-4</v>
      </c>
      <c r="O45" t="s">
        <v>45</v>
      </c>
      <c r="P45" t="s">
        <v>61</v>
      </c>
      <c r="Y45">
        <v>0.464472209541753</v>
      </c>
    </row>
    <row r="46" spans="1:25" x14ac:dyDescent="0.2">
      <c r="A46" t="s">
        <v>19</v>
      </c>
      <c r="B46">
        <v>4.1179181485640699</v>
      </c>
      <c r="C46">
        <v>6.9415163653713099E-2</v>
      </c>
      <c r="D46">
        <v>2021</v>
      </c>
      <c r="E46">
        <v>14</v>
      </c>
      <c r="F46">
        <v>6</v>
      </c>
      <c r="G46">
        <v>-3.6447151087773001E-2</v>
      </c>
      <c r="H46">
        <v>0.594970992501203</v>
      </c>
      <c r="I46">
        <v>-3.6447151087773001E-2</v>
      </c>
      <c r="J46">
        <v>0.594970992501203</v>
      </c>
      <c r="K46">
        <v>-6.7916003803150595E-4</v>
      </c>
      <c r="L46">
        <v>0.98030766585731599</v>
      </c>
      <c r="M46">
        <v>-4.8835324000220698E-2</v>
      </c>
      <c r="N46">
        <v>2.1823196927668601E-2</v>
      </c>
      <c r="O46" t="s">
        <v>45</v>
      </c>
      <c r="P46" t="s">
        <v>62</v>
      </c>
      <c r="Y46">
        <v>0.49655027964653098</v>
      </c>
    </row>
    <row r="47" spans="1:25" x14ac:dyDescent="0.2">
      <c r="A47" t="s">
        <v>20</v>
      </c>
      <c r="B47">
        <v>3.0210333082807899</v>
      </c>
      <c r="C47">
        <v>0.30592508258871298</v>
      </c>
      <c r="D47">
        <v>2011</v>
      </c>
      <c r="E47">
        <v>14</v>
      </c>
      <c r="F47">
        <v>8</v>
      </c>
      <c r="G47">
        <v>-1.85317271743518E-3</v>
      </c>
      <c r="H47">
        <v>0.94141078138317902</v>
      </c>
      <c r="I47">
        <v>-1.85317271743518E-3</v>
      </c>
      <c r="J47" s="1">
        <v>0.94141078138317902</v>
      </c>
      <c r="K47">
        <v>-2.9569629073579701E-4</v>
      </c>
      <c r="L47">
        <v>0.98871942654899903</v>
      </c>
      <c r="M47">
        <v>-3.5028030520222499E-2</v>
      </c>
      <c r="N47" s="1">
        <v>3.09070525408903E-5</v>
      </c>
      <c r="O47" t="s">
        <v>45</v>
      </c>
      <c r="P47" t="s">
        <v>63</v>
      </c>
      <c r="Y47">
        <v>0.92106819375358695</v>
      </c>
    </row>
    <row r="48" spans="1:25" x14ac:dyDescent="0.2">
      <c r="A48" t="s">
        <v>106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  <c r="I48">
        <v>-1.6911695042633599E-2</v>
      </c>
      <c r="J48">
        <v>0.30202266189744897</v>
      </c>
      <c r="K48">
        <v>-1.73870317345278E-2</v>
      </c>
      <c r="L48">
        <v>0.24548008036629801</v>
      </c>
      <c r="M48">
        <v>-1.6911695042633599E-2</v>
      </c>
      <c r="N48">
        <v>0.30202266189744897</v>
      </c>
      <c r="Y48">
        <v>0.71729001280844296</v>
      </c>
    </row>
    <row r="49" spans="1:25" x14ac:dyDescent="0.2">
      <c r="A49" t="s">
        <v>21</v>
      </c>
      <c r="B49">
        <v>3.1406392147217499</v>
      </c>
      <c r="C49">
        <v>0.36432653799207299</v>
      </c>
      <c r="D49">
        <v>2013</v>
      </c>
      <c r="E49">
        <v>14</v>
      </c>
      <c r="F49">
        <v>7</v>
      </c>
      <c r="G49">
        <v>1.2892865190489899E-3</v>
      </c>
      <c r="H49">
        <v>0.95208418319577703</v>
      </c>
      <c r="I49">
        <v>1.1233239541986901E-2</v>
      </c>
      <c r="J49">
        <v>0.49331880126883598</v>
      </c>
      <c r="K49">
        <v>3.5385508656570201E-4</v>
      </c>
      <c r="L49">
        <v>0.97950017137391299</v>
      </c>
      <c r="M49">
        <v>1.1233239541986901E-2</v>
      </c>
      <c r="N49">
        <v>0.49331880126883598</v>
      </c>
      <c r="O49" t="s">
        <v>46</v>
      </c>
      <c r="Y49">
        <v>0.6853445178716</v>
      </c>
    </row>
    <row r="50" spans="1:25" x14ac:dyDescent="0.2">
      <c r="A50" t="s">
        <v>22</v>
      </c>
      <c r="B50">
        <v>1.14086225409835</v>
      </c>
      <c r="C50">
        <v>0.36601785160443001</v>
      </c>
      <c r="D50">
        <v>2020</v>
      </c>
      <c r="E50">
        <v>14</v>
      </c>
      <c r="F50">
        <v>12</v>
      </c>
      <c r="G50">
        <v>5.67263133594302E-3</v>
      </c>
      <c r="H50">
        <v>0.87273428002031495</v>
      </c>
      <c r="I50">
        <v>5.67263133594302E-3</v>
      </c>
      <c r="J50" s="1">
        <v>0.87273428002031495</v>
      </c>
      <c r="K50">
        <v>-8.9616122156653197E-4</v>
      </c>
      <c r="L50">
        <v>0.93530879833425695</v>
      </c>
      <c r="M50">
        <v>-6.1118426910003201E-2</v>
      </c>
      <c r="N50" s="1">
        <v>3.31161183558565E-5</v>
      </c>
      <c r="O50" t="s">
        <v>45</v>
      </c>
      <c r="P50" t="s">
        <v>64</v>
      </c>
      <c r="Y50">
        <v>0.49161152128583402</v>
      </c>
    </row>
    <row r="51" spans="1:25" x14ac:dyDescent="0.2">
      <c r="A51" t="s">
        <v>23</v>
      </c>
      <c r="B51">
        <v>1.3349111614066</v>
      </c>
      <c r="C51">
        <v>0.423446095349372</v>
      </c>
      <c r="D51">
        <v>2019</v>
      </c>
      <c r="E51">
        <v>14</v>
      </c>
      <c r="F51">
        <v>12</v>
      </c>
      <c r="G51">
        <v>-1.0960362162156E-2</v>
      </c>
      <c r="H51">
        <v>0.82110965827388804</v>
      </c>
      <c r="I51">
        <v>-1.0960362162156E-2</v>
      </c>
      <c r="J51">
        <v>0.82110965827388804</v>
      </c>
      <c r="K51">
        <v>-2.39589836891228E-2</v>
      </c>
      <c r="L51">
        <v>0.44726324893165798</v>
      </c>
      <c r="M51">
        <v>7.51917868707693E-2</v>
      </c>
      <c r="N51">
        <v>6.9209354877761503E-2</v>
      </c>
      <c r="O51" t="s">
        <v>45</v>
      </c>
      <c r="P51" t="s">
        <v>65</v>
      </c>
      <c r="Y51">
        <v>0.51329014631953696</v>
      </c>
    </row>
    <row r="52" spans="1:25" x14ac:dyDescent="0.2">
      <c r="A52" t="s">
        <v>24</v>
      </c>
      <c r="B52">
        <v>3.4836028749730898</v>
      </c>
      <c r="C52">
        <v>0.39864471317058098</v>
      </c>
      <c r="D52">
        <v>2015</v>
      </c>
      <c r="E52">
        <v>14</v>
      </c>
      <c r="F52">
        <v>16</v>
      </c>
      <c r="G52">
        <v>9.5769500054092099E-2</v>
      </c>
      <c r="H52">
        <v>1.23735787369149E-4</v>
      </c>
      <c r="I52">
        <v>9.5769500054092099E-2</v>
      </c>
      <c r="J52">
        <v>1.23735787369149E-4</v>
      </c>
      <c r="K52">
        <v>4.9155980456250303E-2</v>
      </c>
      <c r="L52">
        <v>1.8520241665233E-3</v>
      </c>
      <c r="M52">
        <v>4.0995322928234004E-3</v>
      </c>
      <c r="N52">
        <v>0.86464590840361299</v>
      </c>
      <c r="O52" t="s">
        <v>45</v>
      </c>
      <c r="P52" t="s">
        <v>66</v>
      </c>
      <c r="Y52">
        <v>0.63712642061791702</v>
      </c>
    </row>
    <row r="53" spans="1:25" x14ac:dyDescent="0.2">
      <c r="A53" t="s">
        <v>25</v>
      </c>
      <c r="B53">
        <v>1.15249698871761</v>
      </c>
      <c r="C53">
        <v>0.431887297704934</v>
      </c>
      <c r="D53">
        <v>2021</v>
      </c>
      <c r="E53">
        <v>14</v>
      </c>
      <c r="F53">
        <v>10</v>
      </c>
      <c r="G53">
        <v>5.5711178029666398E-3</v>
      </c>
      <c r="H53">
        <v>0.91741287642998304</v>
      </c>
      <c r="I53">
        <v>5.5711178029666398E-3</v>
      </c>
      <c r="J53">
        <v>0.91741287642998304</v>
      </c>
      <c r="K53">
        <v>-1.45140037231168E-2</v>
      </c>
      <c r="L53">
        <v>0.44778117386716898</v>
      </c>
      <c r="M53">
        <v>1.21897254479449E-2</v>
      </c>
      <c r="N53">
        <v>0.62987954725181405</v>
      </c>
      <c r="O53" t="s">
        <v>45</v>
      </c>
      <c r="P53" t="s">
        <v>64</v>
      </c>
      <c r="Y53">
        <v>0.329489237613599</v>
      </c>
    </row>
    <row r="54" spans="1:25" x14ac:dyDescent="0.2">
      <c r="A54" t="s">
        <v>107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I54">
        <v>7.72948994767625E-3</v>
      </c>
      <c r="J54">
        <v>0.72214427324310004</v>
      </c>
      <c r="K54">
        <v>-6.2030988044271297E-3</v>
      </c>
      <c r="L54">
        <v>0.675035106916823</v>
      </c>
      <c r="M54">
        <v>7.72948994767625E-3</v>
      </c>
      <c r="N54">
        <v>0.72214427324310004</v>
      </c>
      <c r="Y54">
        <v>0.71792931000965299</v>
      </c>
    </row>
    <row r="55" spans="1:25" x14ac:dyDescent="0.2">
      <c r="A55" t="s">
        <v>108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I55">
        <v>1.6902648044004698E-2</v>
      </c>
      <c r="J55">
        <v>0.123809367269684</v>
      </c>
      <c r="K55">
        <v>2.2355670199405601E-2</v>
      </c>
      <c r="L55">
        <v>6.0592738375957996E-3</v>
      </c>
      <c r="M55">
        <v>1.6902648044004698E-2</v>
      </c>
      <c r="N55">
        <v>0.123809367269684</v>
      </c>
      <c r="Y55">
        <v>0.64752696639206697</v>
      </c>
    </row>
    <row r="56" spans="1:25" x14ac:dyDescent="0.2">
      <c r="A56" t="s">
        <v>109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I56">
        <v>-7.3200307047576602E-3</v>
      </c>
      <c r="J56">
        <v>0.82070874870172095</v>
      </c>
      <c r="K56">
        <v>-8.0880758742706005E-3</v>
      </c>
      <c r="L56">
        <v>0.69580086998032498</v>
      </c>
      <c r="M56">
        <v>-7.3200307047576602E-3</v>
      </c>
      <c r="N56">
        <v>0.82070874870172095</v>
      </c>
      <c r="Y56">
        <v>0.68385777943624204</v>
      </c>
    </row>
    <row r="57" spans="1:25" x14ac:dyDescent="0.2">
      <c r="A57" t="s">
        <v>110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  <c r="I57">
        <v>1.8441777016018301E-2</v>
      </c>
      <c r="J57">
        <v>0.326780467648144</v>
      </c>
      <c r="K57">
        <v>-2.3126036726920001E-3</v>
      </c>
      <c r="L57">
        <v>0.88349547325385303</v>
      </c>
      <c r="M57">
        <v>1.8441777016018301E-2</v>
      </c>
      <c r="N57">
        <v>0.326780467648144</v>
      </c>
      <c r="Y57">
        <v>0.67977010941943194</v>
      </c>
    </row>
    <row r="58" spans="1:25" x14ac:dyDescent="0.2">
      <c r="A58" t="s">
        <v>111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I58">
        <v>-2.2343040585915699E-2</v>
      </c>
      <c r="J58">
        <v>0.125293056960013</v>
      </c>
      <c r="K58">
        <v>-1.92490620291224E-2</v>
      </c>
      <c r="L58">
        <v>5.3642295533697102E-3</v>
      </c>
      <c r="M58">
        <v>-2.2343040585915699E-2</v>
      </c>
      <c r="N58">
        <v>0.125293056960013</v>
      </c>
      <c r="Y58">
        <v>0.65300860323862397</v>
      </c>
    </row>
    <row r="59" spans="1:25" x14ac:dyDescent="0.2">
      <c r="A59" t="s">
        <v>26</v>
      </c>
      <c r="B59">
        <v>3.0328932614345598</v>
      </c>
      <c r="C59">
        <v>0.17952685929022799</v>
      </c>
      <c r="D59">
        <v>2009</v>
      </c>
      <c r="E59">
        <v>14</v>
      </c>
      <c r="F59">
        <v>10</v>
      </c>
      <c r="G59">
        <v>1.70217433313932E-2</v>
      </c>
      <c r="H59">
        <v>0.306899727878854</v>
      </c>
      <c r="I59">
        <v>1.70217433313932E-2</v>
      </c>
      <c r="J59">
        <v>0.306899727878854</v>
      </c>
      <c r="K59">
        <v>6.7749695580495003E-3</v>
      </c>
      <c r="L59">
        <v>0.45493676688676099</v>
      </c>
      <c r="M59">
        <v>-3.6464918877672003E-2</v>
      </c>
      <c r="N59">
        <v>7.4683625244180304E-2</v>
      </c>
      <c r="O59" t="s">
        <v>45</v>
      </c>
      <c r="P59" t="s">
        <v>67</v>
      </c>
      <c r="Y59">
        <v>0.49474447930806298</v>
      </c>
    </row>
    <row r="60" spans="1:25" x14ac:dyDescent="0.2">
      <c r="A60" t="s">
        <v>112</v>
      </c>
      <c r="B60" t="s">
        <v>8</v>
      </c>
      <c r="C60" t="s">
        <v>8</v>
      </c>
      <c r="D60" t="s">
        <v>8</v>
      </c>
      <c r="E60" t="s">
        <v>8</v>
      </c>
      <c r="F60" t="s">
        <v>8</v>
      </c>
      <c r="I60">
        <v>1.56523994055556E-3</v>
      </c>
      <c r="J60">
        <v>0.86730221241024497</v>
      </c>
      <c r="K60">
        <v>6.7771971356451804E-3</v>
      </c>
      <c r="L60">
        <v>0.131386315405987</v>
      </c>
      <c r="M60">
        <v>1.56523994055556E-3</v>
      </c>
      <c r="N60">
        <v>0.86730221241024497</v>
      </c>
      <c r="Y60">
        <v>0.58333511505180602</v>
      </c>
    </row>
    <row r="61" spans="1:25" x14ac:dyDescent="0.2">
      <c r="A61" t="s">
        <v>27</v>
      </c>
      <c r="B61">
        <v>4.3941747135827898</v>
      </c>
      <c r="C61">
        <v>0.10725153748477199</v>
      </c>
      <c r="D61">
        <v>2021</v>
      </c>
      <c r="E61">
        <v>14</v>
      </c>
      <c r="F61">
        <v>11</v>
      </c>
      <c r="G61">
        <v>5.6185574840972599E-2</v>
      </c>
      <c r="H61" s="1">
        <v>6.6767078889141294E-8</v>
      </c>
      <c r="I61" s="1">
        <v>5.6185574840972599E-2</v>
      </c>
      <c r="J61">
        <v>6.6767078889141294E-8</v>
      </c>
      <c r="K61">
        <v>3.8563780516366997E-2</v>
      </c>
      <c r="L61" s="1">
        <v>4.6774027910062698E-8</v>
      </c>
      <c r="M61">
        <v>-3.69471021429826E-2</v>
      </c>
      <c r="N61">
        <v>6.58213376728263E-4</v>
      </c>
      <c r="O61" t="s">
        <v>45</v>
      </c>
      <c r="P61" t="s">
        <v>68</v>
      </c>
      <c r="Y61">
        <v>0.62870390493553796</v>
      </c>
    </row>
    <row r="62" spans="1:25" x14ac:dyDescent="0.2">
      <c r="A62" t="s">
        <v>113</v>
      </c>
      <c r="B62" t="s">
        <v>8</v>
      </c>
      <c r="C62" t="s">
        <v>8</v>
      </c>
      <c r="D62" t="s">
        <v>8</v>
      </c>
      <c r="E62" t="s">
        <v>8</v>
      </c>
      <c r="F62" t="s">
        <v>8</v>
      </c>
      <c r="I62">
        <v>3.2772589572775103E-2</v>
      </c>
      <c r="J62">
        <v>2.6542520628527199E-2</v>
      </c>
      <c r="K62">
        <v>7.2083186811127704E-3</v>
      </c>
      <c r="L62">
        <v>0.45287818470229302</v>
      </c>
      <c r="M62">
        <v>3.2772589572775103E-2</v>
      </c>
      <c r="N62">
        <v>2.6542520628527199E-2</v>
      </c>
      <c r="Y62">
        <v>0.60320702793224501</v>
      </c>
    </row>
    <row r="63" spans="1:25" x14ac:dyDescent="0.2">
      <c r="A63" t="s">
        <v>114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  <c r="I63">
        <v>1.3277215833158299E-2</v>
      </c>
      <c r="J63">
        <v>0.43015101520033699</v>
      </c>
      <c r="K63">
        <v>3.4922533600627297E-2</v>
      </c>
      <c r="L63">
        <v>1.21396762060352E-2</v>
      </c>
      <c r="M63">
        <v>1.3277215833158299E-2</v>
      </c>
      <c r="N63">
        <v>0.43015101520033699</v>
      </c>
      <c r="Y63">
        <v>0.72122537394269703</v>
      </c>
    </row>
    <row r="64" spans="1:25" x14ac:dyDescent="0.2">
      <c r="A64" t="s">
        <v>115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I64">
        <v>2.17209510537518E-2</v>
      </c>
      <c r="J64">
        <v>0.21252542979584299</v>
      </c>
      <c r="K64">
        <v>9.7097297971029707E-3</v>
      </c>
      <c r="L64">
        <v>0.44801781727969597</v>
      </c>
      <c r="M64">
        <v>2.17209510537518E-2</v>
      </c>
      <c r="N64">
        <v>0.21252542979584299</v>
      </c>
      <c r="Y64">
        <v>0.76142276026629796</v>
      </c>
    </row>
    <row r="65" spans="1:25" x14ac:dyDescent="0.2">
      <c r="A65" t="s">
        <v>116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  <c r="I65">
        <v>-3.2939058965427898E-2</v>
      </c>
      <c r="J65">
        <v>1.5544662059237099E-3</v>
      </c>
      <c r="K65">
        <v>-1.6066346828049999E-2</v>
      </c>
      <c r="L65">
        <v>2.49901580997277E-2</v>
      </c>
      <c r="M65">
        <v>-3.2939058965427898E-2</v>
      </c>
      <c r="N65">
        <v>1.5544662059237099E-3</v>
      </c>
      <c r="Y65">
        <v>0.67378631772273301</v>
      </c>
    </row>
    <row r="66" spans="1:25" x14ac:dyDescent="0.2">
      <c r="A66" t="s">
        <v>117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  <c r="I66">
        <v>-1.07153240452977E-2</v>
      </c>
      <c r="J66">
        <v>3.30925553603637E-2</v>
      </c>
      <c r="K66">
        <v>4.77621540126581E-3</v>
      </c>
      <c r="L66">
        <v>0.231789590206158</v>
      </c>
      <c r="M66">
        <v>-1.07153240452977E-2</v>
      </c>
      <c r="N66">
        <v>3.30925553603637E-2</v>
      </c>
      <c r="Y66">
        <v>0.70147030312077496</v>
      </c>
    </row>
    <row r="67" spans="1:25" x14ac:dyDescent="0.2">
      <c r="A67" t="s">
        <v>118</v>
      </c>
      <c r="B67" t="s">
        <v>8</v>
      </c>
      <c r="C67" t="s">
        <v>8</v>
      </c>
      <c r="D67" t="s">
        <v>8</v>
      </c>
      <c r="E67" t="s">
        <v>8</v>
      </c>
      <c r="F67" t="s">
        <v>8</v>
      </c>
      <c r="I67">
        <v>-2.8684423074325002E-2</v>
      </c>
      <c r="J67" s="1">
        <v>1.1185291055384699E-5</v>
      </c>
      <c r="K67">
        <v>-1.3628730911703E-2</v>
      </c>
      <c r="L67">
        <v>2.4112900366616501E-2</v>
      </c>
      <c r="M67">
        <v>-2.8684423074325002E-2</v>
      </c>
      <c r="N67" s="1">
        <v>1.1185291055384699E-5</v>
      </c>
      <c r="Y67">
        <v>0.57406264560012299</v>
      </c>
    </row>
    <row r="68" spans="1:25" x14ac:dyDescent="0.2">
      <c r="A68" t="s">
        <v>119</v>
      </c>
      <c r="B68" t="s">
        <v>8</v>
      </c>
      <c r="C68" t="s">
        <v>8</v>
      </c>
      <c r="D68" t="s">
        <v>8</v>
      </c>
      <c r="E68" t="s">
        <v>8</v>
      </c>
      <c r="F68" t="s">
        <v>8</v>
      </c>
      <c r="I68">
        <v>-3.3487078390622101E-2</v>
      </c>
      <c r="J68" s="1">
        <v>2.8131474672529299E-12</v>
      </c>
      <c r="K68">
        <v>-6.2890216089837199E-3</v>
      </c>
      <c r="L68">
        <v>4.7819346804848499E-2</v>
      </c>
      <c r="M68">
        <v>-3.3487078390622101E-2</v>
      </c>
      <c r="N68" s="1">
        <v>2.8131474672529299E-12</v>
      </c>
      <c r="Y68">
        <v>0.68252767945359505</v>
      </c>
    </row>
    <row r="69" spans="1:25" x14ac:dyDescent="0.2">
      <c r="A69" t="s">
        <v>28</v>
      </c>
      <c r="B69">
        <v>1.76294305201642</v>
      </c>
      <c r="C69">
        <v>0.44367636501135199</v>
      </c>
      <c r="D69">
        <v>2005</v>
      </c>
      <c r="E69">
        <v>14</v>
      </c>
      <c r="F69">
        <v>10</v>
      </c>
      <c r="G69">
        <v>5.2739247380477403E-3</v>
      </c>
      <c r="H69">
        <v>0.69274376293606799</v>
      </c>
      <c r="I69">
        <v>5.2739247380477403E-3</v>
      </c>
      <c r="J69" s="1">
        <v>0.69274376293606799</v>
      </c>
      <c r="K69">
        <v>3.5175301240035401E-3</v>
      </c>
      <c r="L69">
        <v>0.64516055618160395</v>
      </c>
      <c r="M69">
        <v>-5.7561417744709201E-2</v>
      </c>
      <c r="N69" s="1">
        <v>6.4516517619252802E-7</v>
      </c>
      <c r="O69" t="s">
        <v>45</v>
      </c>
      <c r="P69" t="s">
        <v>69</v>
      </c>
      <c r="Y69">
        <v>0.75942577474099804</v>
      </c>
    </row>
    <row r="70" spans="1:25" x14ac:dyDescent="0.2">
      <c r="A70" t="s">
        <v>120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I70">
        <v>1.6086664443475E-2</v>
      </c>
      <c r="J70">
        <v>0.38284214722575099</v>
      </c>
      <c r="K70">
        <v>7.6171272776792602E-3</v>
      </c>
      <c r="L70">
        <v>0.62862723680188803</v>
      </c>
      <c r="M70">
        <v>1.6086664443475E-2</v>
      </c>
      <c r="N70">
        <v>0.38284214722575099</v>
      </c>
      <c r="Y70">
        <v>0.87304193222264004</v>
      </c>
    </row>
    <row r="71" spans="1:25" x14ac:dyDescent="0.2">
      <c r="A71" t="s">
        <v>122</v>
      </c>
      <c r="B71" t="s">
        <v>8</v>
      </c>
      <c r="C71" t="s">
        <v>8</v>
      </c>
      <c r="D71" t="s">
        <v>8</v>
      </c>
      <c r="E71" t="s">
        <v>8</v>
      </c>
      <c r="F71" t="s">
        <v>8</v>
      </c>
      <c r="I71">
        <v>-2.7344657204328798E-2</v>
      </c>
      <c r="J71">
        <v>4.6851286655932502E-2</v>
      </c>
      <c r="K71">
        <v>-1.54458003602103E-2</v>
      </c>
      <c r="L71">
        <v>0.18634422197780501</v>
      </c>
      <c r="M71">
        <v>-2.7344657204328798E-2</v>
      </c>
      <c r="N71">
        <v>4.6851286655932502E-2</v>
      </c>
      <c r="Y71">
        <v>0.93915264569039203</v>
      </c>
    </row>
    <row r="72" spans="1:25" x14ac:dyDescent="0.2">
      <c r="A72" t="s">
        <v>29</v>
      </c>
      <c r="B72">
        <v>1.4893371405776501</v>
      </c>
      <c r="C72">
        <v>0.37703485699549399</v>
      </c>
      <c r="D72">
        <v>2013</v>
      </c>
      <c r="E72">
        <v>14</v>
      </c>
      <c r="F72">
        <v>11</v>
      </c>
      <c r="G72">
        <v>4.8738376744977198E-2</v>
      </c>
      <c r="H72">
        <v>1.2840200944926701E-2</v>
      </c>
      <c r="I72">
        <v>5.4778837638479301E-2</v>
      </c>
      <c r="J72">
        <v>2.46640510331596E-3</v>
      </c>
      <c r="K72">
        <v>5.2118840542089602E-2</v>
      </c>
      <c r="L72">
        <v>1.10464925616832E-2</v>
      </c>
      <c r="M72">
        <v>5.4778837638479301E-2</v>
      </c>
      <c r="N72">
        <v>2.46640510331596E-3</v>
      </c>
      <c r="O72" t="s">
        <v>46</v>
      </c>
      <c r="Y72">
        <v>0.69470054029742601</v>
      </c>
    </row>
    <row r="73" spans="1:25" x14ac:dyDescent="0.2">
      <c r="A73" t="s">
        <v>30</v>
      </c>
      <c r="B73">
        <v>1.9472189392547901</v>
      </c>
      <c r="C73">
        <v>0.35634960563222501</v>
      </c>
      <c r="D73">
        <v>2005</v>
      </c>
      <c r="E73">
        <v>14</v>
      </c>
      <c r="F73">
        <v>16</v>
      </c>
      <c r="G73">
        <v>8.63981246078626E-3</v>
      </c>
      <c r="H73">
        <v>0.57850054182977295</v>
      </c>
      <c r="I73">
        <v>8.63981246078626E-3</v>
      </c>
      <c r="J73">
        <v>0.57850054182977295</v>
      </c>
      <c r="K73">
        <v>-3.4309797300837602E-3</v>
      </c>
      <c r="L73">
        <v>0.73119507943921203</v>
      </c>
      <c r="M73">
        <v>-3.0933263527150399E-2</v>
      </c>
      <c r="N73">
        <v>1.68374765175902E-2</v>
      </c>
      <c r="O73" t="s">
        <v>45</v>
      </c>
      <c r="P73" t="s">
        <v>70</v>
      </c>
      <c r="Y73">
        <v>0.76212982563709397</v>
      </c>
    </row>
    <row r="74" spans="1:25" x14ac:dyDescent="0.2">
      <c r="A74" t="s">
        <v>123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I74">
        <v>-3.53342549739405E-2</v>
      </c>
      <c r="J74">
        <v>1.05738519920922E-3</v>
      </c>
      <c r="K74">
        <v>-7.2885608751574E-3</v>
      </c>
      <c r="L74">
        <v>0.61498524250078901</v>
      </c>
      <c r="M74">
        <v>-3.53342549739405E-2</v>
      </c>
      <c r="N74">
        <v>1.05738519920922E-3</v>
      </c>
      <c r="Y74">
        <v>0.75184775907412604</v>
      </c>
    </row>
    <row r="75" spans="1:25" x14ac:dyDescent="0.2">
      <c r="A75" t="s">
        <v>31</v>
      </c>
      <c r="B75">
        <v>2.7794939474487301</v>
      </c>
      <c r="C75">
        <v>0.14074602912675099</v>
      </c>
      <c r="D75">
        <v>2017</v>
      </c>
      <c r="E75">
        <v>14</v>
      </c>
      <c r="F75">
        <v>11</v>
      </c>
      <c r="G75">
        <v>-2.5374014400188299E-2</v>
      </c>
      <c r="H75">
        <v>3.4375085502797498E-2</v>
      </c>
      <c r="I75">
        <v>-2.5374014400188299E-2</v>
      </c>
      <c r="J75">
        <v>3.4375085502797498E-2</v>
      </c>
      <c r="K75">
        <v>-1.6419037075487301E-2</v>
      </c>
      <c r="L75">
        <v>2.4051137844512498E-2</v>
      </c>
      <c r="M75">
        <v>-3.3970049344032797E-2</v>
      </c>
      <c r="N75">
        <v>1.68158465010039E-2</v>
      </c>
      <c r="O75" t="s">
        <v>45</v>
      </c>
      <c r="P75" t="s">
        <v>71</v>
      </c>
      <c r="Y75">
        <v>0.48442581515751798</v>
      </c>
    </row>
    <row r="76" spans="1:25" x14ac:dyDescent="0.2">
      <c r="A76" t="s">
        <v>124</v>
      </c>
      <c r="B76" t="s">
        <v>8</v>
      </c>
      <c r="C76" t="s">
        <v>8</v>
      </c>
      <c r="D76" t="s">
        <v>8</v>
      </c>
      <c r="E76" t="s">
        <v>8</v>
      </c>
      <c r="F76" t="s">
        <v>8</v>
      </c>
      <c r="I76">
        <v>-3.5865083832061002E-2</v>
      </c>
      <c r="J76">
        <v>1.8232432985983701E-2</v>
      </c>
      <c r="K76">
        <v>4.8924578436884204E-4</v>
      </c>
      <c r="L76">
        <v>0.95966765267293996</v>
      </c>
      <c r="M76">
        <v>-3.5865083832061002E-2</v>
      </c>
      <c r="N76">
        <v>1.8232432985983701E-2</v>
      </c>
      <c r="Y76">
        <v>0.471019643867646</v>
      </c>
    </row>
    <row r="77" spans="1:25" x14ac:dyDescent="0.2">
      <c r="A77" t="s">
        <v>32</v>
      </c>
      <c r="B77">
        <v>1.84592925704348</v>
      </c>
      <c r="C77">
        <v>0.52527444924412903</v>
      </c>
      <c r="D77">
        <v>2001</v>
      </c>
      <c r="E77">
        <v>14</v>
      </c>
      <c r="F77">
        <v>8</v>
      </c>
      <c r="G77">
        <v>-0.17197658518907399</v>
      </c>
      <c r="H77">
        <v>8.5845099563849295E-4</v>
      </c>
      <c r="I77">
        <v>-0.152015734983833</v>
      </c>
      <c r="J77" s="1">
        <v>2.3171433855135598E-9</v>
      </c>
      <c r="K77">
        <v>-0.16333931786314801</v>
      </c>
      <c r="L77">
        <v>7.5088541216407096E-4</v>
      </c>
      <c r="M77">
        <v>-0.152015734983833</v>
      </c>
      <c r="N77" s="1">
        <v>2.3171433855135598E-9</v>
      </c>
      <c r="O77" t="s">
        <v>46</v>
      </c>
      <c r="Y77">
        <v>0.85020938585705697</v>
      </c>
    </row>
    <row r="78" spans="1:25" x14ac:dyDescent="0.2">
      <c r="A78" t="s">
        <v>125</v>
      </c>
      <c r="B78" t="s">
        <v>8</v>
      </c>
      <c r="C78" t="s">
        <v>8</v>
      </c>
      <c r="D78" t="s">
        <v>8</v>
      </c>
      <c r="E78" t="s">
        <v>8</v>
      </c>
      <c r="F78" t="s">
        <v>8</v>
      </c>
      <c r="I78">
        <v>-7.8059656494733204E-3</v>
      </c>
      <c r="J78">
        <v>0.79052304153237496</v>
      </c>
      <c r="K78">
        <v>-3.00019558200799E-2</v>
      </c>
      <c r="L78">
        <v>3.47078871780594E-2</v>
      </c>
      <c r="M78">
        <v>-7.8059656494733204E-3</v>
      </c>
      <c r="N78">
        <v>0.79052304153237496</v>
      </c>
      <c r="Y78">
        <v>0.96644914297136897</v>
      </c>
    </row>
    <row r="79" spans="1:25" x14ac:dyDescent="0.2">
      <c r="A79" t="s">
        <v>126</v>
      </c>
      <c r="B79" t="s">
        <v>8</v>
      </c>
      <c r="C79" t="s">
        <v>8</v>
      </c>
      <c r="D79" t="s">
        <v>8</v>
      </c>
      <c r="E79" t="s">
        <v>8</v>
      </c>
      <c r="F79" t="s">
        <v>8</v>
      </c>
      <c r="I79">
        <v>-4.2260005853769697E-3</v>
      </c>
      <c r="J79">
        <v>0.62481381894669696</v>
      </c>
      <c r="K79">
        <v>1.2088606342723801E-2</v>
      </c>
      <c r="L79">
        <v>6.8243634527519206E-2</v>
      </c>
      <c r="M79">
        <v>-4.2260005853769697E-3</v>
      </c>
      <c r="N79">
        <v>0.62481381894669696</v>
      </c>
      <c r="Y79">
        <v>0.80947363045185206</v>
      </c>
    </row>
    <row r="80" spans="1:25" x14ac:dyDescent="0.2">
      <c r="A80" t="s">
        <v>127</v>
      </c>
      <c r="B80" t="s">
        <v>8</v>
      </c>
      <c r="C80" t="s">
        <v>8</v>
      </c>
      <c r="D80" t="s">
        <v>8</v>
      </c>
      <c r="E80" t="s">
        <v>8</v>
      </c>
      <c r="F80" t="s">
        <v>8</v>
      </c>
      <c r="I80">
        <v>4.2799513982723402E-3</v>
      </c>
      <c r="J80">
        <v>0.53852718044763104</v>
      </c>
      <c r="K80">
        <v>1.1357042541991101E-2</v>
      </c>
      <c r="L80">
        <v>3.48523996116923E-2</v>
      </c>
      <c r="M80">
        <v>4.2799513982723402E-3</v>
      </c>
      <c r="N80">
        <v>0.53852718044763104</v>
      </c>
      <c r="Y80">
        <v>0.80807394345462102</v>
      </c>
    </row>
    <row r="81" spans="1:25" x14ac:dyDescent="0.2">
      <c r="A81" t="s">
        <v>128</v>
      </c>
      <c r="B81" t="s">
        <v>8</v>
      </c>
      <c r="C81" t="s">
        <v>8</v>
      </c>
      <c r="D81" t="s">
        <v>8</v>
      </c>
      <c r="E81" t="s">
        <v>8</v>
      </c>
      <c r="F81" t="s">
        <v>8</v>
      </c>
      <c r="I81">
        <v>1.6129068060005001E-2</v>
      </c>
      <c r="J81">
        <v>0.37759706016001698</v>
      </c>
      <c r="K81">
        <v>-2.7433853425824798E-3</v>
      </c>
      <c r="L81">
        <v>0.79563100191671998</v>
      </c>
      <c r="M81">
        <v>1.6129068060005001E-2</v>
      </c>
      <c r="N81">
        <v>0.37759706016001698</v>
      </c>
      <c r="Y81">
        <v>0.57862777782606301</v>
      </c>
    </row>
    <row r="82" spans="1:25" x14ac:dyDescent="0.2">
      <c r="A82" t="s">
        <v>129</v>
      </c>
      <c r="B82" t="s">
        <v>8</v>
      </c>
      <c r="C82" t="s">
        <v>8</v>
      </c>
      <c r="D82" t="s">
        <v>8</v>
      </c>
      <c r="E82" t="s">
        <v>8</v>
      </c>
      <c r="F82" t="s">
        <v>8</v>
      </c>
      <c r="I82">
        <v>-1.1656364672433899E-2</v>
      </c>
      <c r="J82">
        <v>0.30487991434060902</v>
      </c>
      <c r="K82">
        <v>3.0299097233749302E-3</v>
      </c>
      <c r="L82">
        <v>0.68227248178947797</v>
      </c>
      <c r="M82">
        <v>-1.1656364672433899E-2</v>
      </c>
      <c r="N82">
        <v>0.30487991434060902</v>
      </c>
      <c r="Y82">
        <v>0.65570417558321004</v>
      </c>
    </row>
    <row r="83" spans="1:25" x14ac:dyDescent="0.2">
      <c r="A83" t="s">
        <v>130</v>
      </c>
      <c r="B83" t="s">
        <v>8</v>
      </c>
      <c r="C83" t="s">
        <v>8</v>
      </c>
      <c r="D83" t="s">
        <v>8</v>
      </c>
      <c r="E83" t="s">
        <v>8</v>
      </c>
      <c r="F83" t="s">
        <v>8</v>
      </c>
      <c r="I83">
        <v>-3.4325364948702801E-3</v>
      </c>
      <c r="J83">
        <v>0.75258817578364401</v>
      </c>
      <c r="K83">
        <v>4.4461366146639801E-3</v>
      </c>
      <c r="L83">
        <v>0.481129562736411</v>
      </c>
      <c r="M83">
        <v>-3.4325364948702801E-3</v>
      </c>
      <c r="N83">
        <v>0.75258817578364401</v>
      </c>
      <c r="Y83">
        <v>0.71102741426514404</v>
      </c>
    </row>
    <row r="84" spans="1:25" x14ac:dyDescent="0.2">
      <c r="A84" t="s">
        <v>131</v>
      </c>
      <c r="B84" t="s">
        <v>8</v>
      </c>
      <c r="C84" t="s">
        <v>8</v>
      </c>
      <c r="D84" t="s">
        <v>8</v>
      </c>
      <c r="E84" t="s">
        <v>8</v>
      </c>
      <c r="F84" t="s">
        <v>8</v>
      </c>
      <c r="I84">
        <v>7.82835145848239E-3</v>
      </c>
      <c r="J84">
        <v>0.41251580474371402</v>
      </c>
      <c r="K84">
        <v>8.7406880795444595E-3</v>
      </c>
      <c r="L84">
        <v>0.26182417316591</v>
      </c>
      <c r="M84">
        <v>7.82835145848239E-3</v>
      </c>
      <c r="N84">
        <v>0.41251580474371402</v>
      </c>
      <c r="Y84">
        <v>0.72481887565924696</v>
      </c>
    </row>
    <row r="85" spans="1:25" x14ac:dyDescent="0.2">
      <c r="A85" t="s">
        <v>132</v>
      </c>
      <c r="B85" t="s">
        <v>8</v>
      </c>
      <c r="C85" t="s">
        <v>8</v>
      </c>
      <c r="D85" t="s">
        <v>8</v>
      </c>
      <c r="E85" t="s">
        <v>8</v>
      </c>
      <c r="F85" t="s">
        <v>8</v>
      </c>
      <c r="I85">
        <v>-2.3000251687740998E-5</v>
      </c>
      <c r="J85">
        <v>0.998293577305156</v>
      </c>
      <c r="K85">
        <v>2.28148695441154E-2</v>
      </c>
      <c r="L85">
        <v>8.9637950583272997E-3</v>
      </c>
      <c r="M85" s="1">
        <v>-2.3000251687740998E-5</v>
      </c>
      <c r="N85">
        <v>0.998293577305156</v>
      </c>
      <c r="Y85">
        <v>0.75689670038972001</v>
      </c>
    </row>
    <row r="86" spans="1:25" x14ac:dyDescent="0.2">
      <c r="A86" t="s">
        <v>133</v>
      </c>
      <c r="B86" t="s">
        <v>8</v>
      </c>
      <c r="C86" t="s">
        <v>8</v>
      </c>
      <c r="D86" t="s">
        <v>8</v>
      </c>
      <c r="E86" t="s">
        <v>8</v>
      </c>
      <c r="F86" t="s">
        <v>8</v>
      </c>
      <c r="I86">
        <v>-0.12836550090336199</v>
      </c>
      <c r="J86">
        <v>1.4125290130191301E-4</v>
      </c>
      <c r="K86">
        <v>-4.9503126083206901E-2</v>
      </c>
      <c r="L86">
        <v>0.19566808175373601</v>
      </c>
      <c r="M86">
        <v>-0.12836550090336199</v>
      </c>
      <c r="N86">
        <v>1.4125290130191301E-4</v>
      </c>
      <c r="Y86">
        <v>0.99034018809926005</v>
      </c>
    </row>
    <row r="87" spans="1:25" x14ac:dyDescent="0.2">
      <c r="A87" t="s">
        <v>134</v>
      </c>
      <c r="B87" t="s">
        <v>8</v>
      </c>
      <c r="C87" t="s">
        <v>8</v>
      </c>
      <c r="D87" t="s">
        <v>8</v>
      </c>
      <c r="E87" t="s">
        <v>8</v>
      </c>
      <c r="F87" t="s">
        <v>8</v>
      </c>
      <c r="I87">
        <v>6.4945928861914998E-2</v>
      </c>
      <c r="J87">
        <v>1.40776814992225E-4</v>
      </c>
      <c r="K87">
        <v>3.6657912314303903E-2</v>
      </c>
      <c r="L87">
        <v>2.3043999475055301E-3</v>
      </c>
      <c r="M87">
        <v>6.4945928861914998E-2</v>
      </c>
      <c r="N87">
        <v>1.40776814992225E-4</v>
      </c>
      <c r="Y87">
        <v>0.69001094211084002</v>
      </c>
    </row>
    <row r="88" spans="1:25" x14ac:dyDescent="0.2">
      <c r="A88" t="s">
        <v>135</v>
      </c>
      <c r="B88" t="s">
        <v>8</v>
      </c>
      <c r="C88" t="s">
        <v>8</v>
      </c>
      <c r="D88" t="s">
        <v>8</v>
      </c>
      <c r="E88" t="s">
        <v>8</v>
      </c>
      <c r="F88" t="s">
        <v>8</v>
      </c>
      <c r="I88">
        <v>4.5009023450462999E-3</v>
      </c>
      <c r="J88">
        <v>0.72902611172795695</v>
      </c>
      <c r="K88">
        <v>2.8539763521108199E-3</v>
      </c>
      <c r="L88">
        <v>0.73353773749333495</v>
      </c>
      <c r="M88">
        <v>4.5009023450462999E-3</v>
      </c>
      <c r="N88">
        <v>0.72902611172795695</v>
      </c>
      <c r="Y88">
        <v>0.63669611907077095</v>
      </c>
    </row>
    <row r="89" spans="1:25" x14ac:dyDescent="0.2">
      <c r="A89" t="s">
        <v>33</v>
      </c>
      <c r="B89">
        <v>5.7917325750817197</v>
      </c>
      <c r="C89">
        <v>4.4309826137958801E-2</v>
      </c>
      <c r="D89">
        <v>2010</v>
      </c>
      <c r="E89">
        <v>14</v>
      </c>
      <c r="F89">
        <v>26</v>
      </c>
      <c r="G89">
        <v>-2.06287168073917E-2</v>
      </c>
      <c r="H89">
        <v>0.58208276167381101</v>
      </c>
      <c r="I89">
        <v>-2.06287168073917E-2</v>
      </c>
      <c r="J89">
        <v>0.58208276167381101</v>
      </c>
      <c r="K89">
        <v>-1.05195229573052E-2</v>
      </c>
      <c r="L89">
        <v>0.36063755199737602</v>
      </c>
      <c r="M89">
        <v>4.0070093973103099E-2</v>
      </c>
      <c r="N89">
        <v>5.6374889665391503E-3</v>
      </c>
      <c r="O89" t="s">
        <v>45</v>
      </c>
      <c r="P89" t="s">
        <v>72</v>
      </c>
      <c r="Y89">
        <v>0.31130382200000001</v>
      </c>
    </row>
    <row r="90" spans="1:25" x14ac:dyDescent="0.2">
      <c r="A90" t="s">
        <v>136</v>
      </c>
      <c r="B90" t="s">
        <v>8</v>
      </c>
      <c r="C90" t="s">
        <v>8</v>
      </c>
      <c r="D90" t="s">
        <v>8</v>
      </c>
      <c r="E90" t="s">
        <v>8</v>
      </c>
      <c r="F90" t="s">
        <v>8</v>
      </c>
      <c r="I90">
        <v>-2.32180242195139E-2</v>
      </c>
      <c r="J90">
        <v>6.7921713220357505E-2</v>
      </c>
      <c r="K90">
        <v>1.6400952371061601E-2</v>
      </c>
      <c r="L90">
        <v>7.8473373911613395E-2</v>
      </c>
      <c r="M90">
        <v>-2.32180242195139E-2</v>
      </c>
      <c r="N90">
        <v>6.7921713220357505E-2</v>
      </c>
      <c r="Y90">
        <v>1.0355668784954899</v>
      </c>
    </row>
    <row r="91" spans="1:25" x14ac:dyDescent="0.2">
      <c r="A91" t="s">
        <v>137</v>
      </c>
      <c r="B91" t="s">
        <v>8</v>
      </c>
      <c r="C91" t="s">
        <v>8</v>
      </c>
      <c r="D91" t="s">
        <v>8</v>
      </c>
      <c r="E91" t="s">
        <v>8</v>
      </c>
      <c r="F91" t="s">
        <v>8</v>
      </c>
      <c r="I91">
        <v>2.1794424331023202E-2</v>
      </c>
      <c r="J91">
        <v>6.6829173207756901E-2</v>
      </c>
      <c r="K91">
        <v>1.6711404361148499E-2</v>
      </c>
      <c r="L91">
        <v>5.9127556816574098E-2</v>
      </c>
      <c r="M91">
        <v>2.1794424331023202E-2</v>
      </c>
      <c r="N91">
        <v>6.6829173207756901E-2</v>
      </c>
      <c r="Y91">
        <v>0.84771308926904798</v>
      </c>
    </row>
    <row r="92" spans="1:25" x14ac:dyDescent="0.2">
      <c r="A92" t="s">
        <v>138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I92">
        <v>6.4140555307833401E-3</v>
      </c>
      <c r="J92">
        <v>0.65113251416054296</v>
      </c>
      <c r="K92">
        <v>-2.1644265571308E-2</v>
      </c>
      <c r="L92">
        <v>5.4384885231720997E-2</v>
      </c>
      <c r="M92">
        <v>6.4140555307833401E-3</v>
      </c>
      <c r="N92">
        <v>0.65113251416054296</v>
      </c>
      <c r="Y92">
        <v>0.68991361955824804</v>
      </c>
    </row>
    <row r="93" spans="1:25" x14ac:dyDescent="0.2">
      <c r="A93" t="s">
        <v>139</v>
      </c>
      <c r="B93" t="s">
        <v>8</v>
      </c>
      <c r="C93" t="s">
        <v>8</v>
      </c>
      <c r="D93" t="s">
        <v>8</v>
      </c>
      <c r="E93" t="s">
        <v>8</v>
      </c>
      <c r="F93" t="s">
        <v>8</v>
      </c>
      <c r="I93">
        <v>-2.04139415459333E-2</v>
      </c>
      <c r="J93">
        <v>4.5555004097444403E-2</v>
      </c>
      <c r="K93">
        <v>-1.3428638540392401E-2</v>
      </c>
      <c r="L93">
        <v>3.4188409843794197E-2</v>
      </c>
      <c r="M93">
        <v>-2.04139415459333E-2</v>
      </c>
      <c r="N93">
        <v>4.5555004097444403E-2</v>
      </c>
      <c r="Y93">
        <v>0.61503233376795696</v>
      </c>
    </row>
    <row r="94" spans="1:25" x14ac:dyDescent="0.2">
      <c r="A94" t="s">
        <v>140</v>
      </c>
      <c r="B94" t="s">
        <v>8</v>
      </c>
      <c r="C94" t="s">
        <v>8</v>
      </c>
      <c r="D94" t="s">
        <v>8</v>
      </c>
      <c r="E94" t="s">
        <v>8</v>
      </c>
      <c r="F94" t="s">
        <v>8</v>
      </c>
      <c r="I94">
        <v>2.9392314556638498E-2</v>
      </c>
      <c r="J94">
        <v>0.30803559117314799</v>
      </c>
      <c r="K94">
        <v>2.2207512934124801E-2</v>
      </c>
      <c r="L94">
        <v>0.13366671828995</v>
      </c>
      <c r="M94">
        <v>2.9392314556638498E-2</v>
      </c>
      <c r="N94">
        <v>0.30803559117314799</v>
      </c>
      <c r="Y94">
        <v>0.63345505518710499</v>
      </c>
    </row>
    <row r="95" spans="1:25" x14ac:dyDescent="0.2">
      <c r="A95" t="s">
        <v>141</v>
      </c>
      <c r="B95" t="s">
        <v>8</v>
      </c>
      <c r="C95" t="s">
        <v>8</v>
      </c>
      <c r="D95" t="s">
        <v>8</v>
      </c>
      <c r="E95" t="s">
        <v>8</v>
      </c>
      <c r="F95" t="s">
        <v>8</v>
      </c>
      <c r="I95">
        <v>8.4474012105428403E-2</v>
      </c>
      <c r="J95">
        <v>1.8854539311983502E-2</v>
      </c>
      <c r="K95">
        <v>4.73438291414571E-2</v>
      </c>
      <c r="L95">
        <v>4.21389737321003E-2</v>
      </c>
      <c r="M95">
        <v>8.4474012105428403E-2</v>
      </c>
      <c r="N95">
        <v>1.8854539311983502E-2</v>
      </c>
      <c r="Y95">
        <v>0.57482297483225397</v>
      </c>
    </row>
    <row r="96" spans="1:25" x14ac:dyDescent="0.2">
      <c r="A96" t="s">
        <v>142</v>
      </c>
      <c r="B96" t="s">
        <v>8</v>
      </c>
      <c r="C96" t="s">
        <v>8</v>
      </c>
      <c r="D96" t="s">
        <v>8</v>
      </c>
      <c r="E96" t="s">
        <v>8</v>
      </c>
      <c r="F96" t="s">
        <v>8</v>
      </c>
      <c r="I96">
        <v>-3.7547633882690702E-2</v>
      </c>
      <c r="J96">
        <v>0.24869461937929599</v>
      </c>
      <c r="K96">
        <v>-3.4249946836221401E-2</v>
      </c>
      <c r="L96">
        <v>3.6779237980963997E-2</v>
      </c>
      <c r="M96">
        <v>-3.7547633882690702E-2</v>
      </c>
      <c r="N96">
        <v>0.24869461937929599</v>
      </c>
      <c r="Y96">
        <v>0.63910631644326898</v>
      </c>
    </row>
    <row r="97" spans="1:25" x14ac:dyDescent="0.2">
      <c r="A97" t="s">
        <v>34</v>
      </c>
      <c r="B97">
        <v>1.1569917287112499</v>
      </c>
      <c r="C97">
        <v>0.59925647449347696</v>
      </c>
      <c r="D97">
        <v>2019</v>
      </c>
      <c r="E97">
        <v>14</v>
      </c>
      <c r="F97">
        <v>4</v>
      </c>
      <c r="G97">
        <v>2.53561774365147E-2</v>
      </c>
      <c r="H97">
        <v>0.22661547224276901</v>
      </c>
      <c r="I97">
        <v>2.53561774365147E-2</v>
      </c>
      <c r="J97">
        <v>0.22661547224276901</v>
      </c>
      <c r="K97">
        <v>1.9808024150198601E-2</v>
      </c>
      <c r="L97">
        <v>0.203370793693502</v>
      </c>
      <c r="M97">
        <v>3.4030958174262403E-2</v>
      </c>
      <c r="N97">
        <v>0.25811903688304</v>
      </c>
      <c r="O97" t="s">
        <v>45</v>
      </c>
      <c r="P97" t="s">
        <v>73</v>
      </c>
      <c r="Y97">
        <v>0.78430081290050702</v>
      </c>
    </row>
    <row r="98" spans="1:25" x14ac:dyDescent="0.2">
      <c r="A98" t="s">
        <v>143</v>
      </c>
      <c r="B98" t="s">
        <v>8</v>
      </c>
      <c r="C98" t="s">
        <v>8</v>
      </c>
      <c r="D98" t="s">
        <v>8</v>
      </c>
      <c r="E98" t="s">
        <v>8</v>
      </c>
      <c r="F98" t="s">
        <v>8</v>
      </c>
      <c r="I98">
        <v>2.2336420723369999E-2</v>
      </c>
      <c r="J98">
        <v>0.246558548582061</v>
      </c>
      <c r="K98">
        <v>9.9613412402503095E-3</v>
      </c>
      <c r="L98">
        <v>0.30781786710931702</v>
      </c>
      <c r="M98">
        <v>2.2336420723369999E-2</v>
      </c>
      <c r="N98">
        <v>0.246558548582061</v>
      </c>
      <c r="Y98">
        <v>0.53209344820040205</v>
      </c>
    </row>
    <row r="99" spans="1:25" x14ac:dyDescent="0.2">
      <c r="A99" t="s">
        <v>35</v>
      </c>
      <c r="B99">
        <v>4.6808685572087398</v>
      </c>
      <c r="C99">
        <v>0.14787660244220799</v>
      </c>
      <c r="D99">
        <v>2016</v>
      </c>
      <c r="E99">
        <v>14</v>
      </c>
      <c r="F99">
        <v>18</v>
      </c>
      <c r="G99">
        <v>5.5551707468311201E-2</v>
      </c>
      <c r="H99">
        <v>2.0408498543716399E-2</v>
      </c>
      <c r="I99">
        <v>5.5551707468311201E-2</v>
      </c>
      <c r="J99">
        <v>2.0408498543716399E-2</v>
      </c>
      <c r="K99">
        <v>1.81533091410713E-2</v>
      </c>
      <c r="L99">
        <v>0.106577665036829</v>
      </c>
      <c r="M99">
        <v>1.8899737879073401E-2</v>
      </c>
      <c r="N99">
        <v>0.43333452478436801</v>
      </c>
      <c r="O99" t="s">
        <v>45</v>
      </c>
      <c r="P99" t="s">
        <v>74</v>
      </c>
      <c r="Y99">
        <v>0.415704570016455</v>
      </c>
    </row>
    <row r="100" spans="1:25" x14ac:dyDescent="0.2">
      <c r="A100" t="s">
        <v>144</v>
      </c>
      <c r="B100" t="s">
        <v>8</v>
      </c>
      <c r="C100" t="s">
        <v>8</v>
      </c>
      <c r="D100" t="s">
        <v>8</v>
      </c>
      <c r="E100" t="s">
        <v>8</v>
      </c>
      <c r="F100" t="s">
        <v>8</v>
      </c>
      <c r="I100">
        <v>-5.6734322033445098E-2</v>
      </c>
      <c r="J100" s="1">
        <v>6.0366058316312999E-5</v>
      </c>
      <c r="K100">
        <v>-4.1509456823949402E-2</v>
      </c>
      <c r="L100" s="1">
        <v>3.5734856704367E-5</v>
      </c>
      <c r="M100">
        <v>-5.6734322033445098E-2</v>
      </c>
      <c r="N100" s="1">
        <v>6.0366058316312999E-5</v>
      </c>
      <c r="Y100">
        <v>0.70620376240453797</v>
      </c>
    </row>
    <row r="101" spans="1:25" x14ac:dyDescent="0.2">
      <c r="A101" t="s">
        <v>146</v>
      </c>
      <c r="B101" t="s">
        <v>8</v>
      </c>
      <c r="C101" t="s">
        <v>8</v>
      </c>
      <c r="D101" t="s">
        <v>8</v>
      </c>
      <c r="E101" t="s">
        <v>8</v>
      </c>
      <c r="F101" t="s">
        <v>8</v>
      </c>
      <c r="I101">
        <v>-3.2289803833394901E-2</v>
      </c>
      <c r="J101">
        <v>0.228176316799134</v>
      </c>
      <c r="K101">
        <v>-2.38461182201271E-2</v>
      </c>
      <c r="L101">
        <v>0.13591076459205001</v>
      </c>
      <c r="M101">
        <v>-3.2289803833394901E-2</v>
      </c>
      <c r="N101">
        <v>0.228176316799134</v>
      </c>
      <c r="Y101">
        <v>0.60174247906637301</v>
      </c>
    </row>
    <row r="102" spans="1:25" x14ac:dyDescent="0.2">
      <c r="A102" t="s">
        <v>147</v>
      </c>
      <c r="B102" t="s">
        <v>8</v>
      </c>
      <c r="C102" t="s">
        <v>8</v>
      </c>
      <c r="D102" t="s">
        <v>8</v>
      </c>
      <c r="E102" t="s">
        <v>8</v>
      </c>
      <c r="F102" t="s">
        <v>8</v>
      </c>
      <c r="I102">
        <v>-2.3238666585628301E-2</v>
      </c>
      <c r="J102">
        <v>0.18087027470074099</v>
      </c>
      <c r="K102">
        <v>-5.3707212473374198E-3</v>
      </c>
      <c r="L102">
        <v>0.50572713523051305</v>
      </c>
      <c r="M102">
        <v>-2.3238666585628301E-2</v>
      </c>
      <c r="N102">
        <v>0.18087027470074099</v>
      </c>
      <c r="Y102">
        <v>0.53770679693829404</v>
      </c>
    </row>
    <row r="103" spans="1:25" x14ac:dyDescent="0.2">
      <c r="A103" t="s">
        <v>148</v>
      </c>
      <c r="B103" t="s">
        <v>8</v>
      </c>
      <c r="C103" t="s">
        <v>8</v>
      </c>
      <c r="D103" t="s">
        <v>8</v>
      </c>
      <c r="E103" t="s">
        <v>8</v>
      </c>
      <c r="F103" t="s">
        <v>8</v>
      </c>
      <c r="I103">
        <v>7.3707524150407803E-4</v>
      </c>
      <c r="J103">
        <v>0.96556600960870798</v>
      </c>
      <c r="K103">
        <v>1.28929240050291E-2</v>
      </c>
      <c r="L103">
        <v>0.41703960533666801</v>
      </c>
      <c r="M103">
        <v>7.3707524150407803E-4</v>
      </c>
      <c r="N103">
        <v>0.96556600960870798</v>
      </c>
      <c r="Y103">
        <v>0.55497264802031998</v>
      </c>
    </row>
    <row r="104" spans="1:25" x14ac:dyDescent="0.2">
      <c r="A104" t="s">
        <v>36</v>
      </c>
      <c r="B104">
        <v>2.0950998616539298</v>
      </c>
      <c r="C104">
        <v>0.25177938443548797</v>
      </c>
      <c r="D104">
        <v>2002</v>
      </c>
      <c r="E104">
        <v>14</v>
      </c>
      <c r="F104">
        <v>10</v>
      </c>
      <c r="G104">
        <v>9.1962735173340596E-2</v>
      </c>
      <c r="H104">
        <v>1.1978895502372099E-3</v>
      </c>
      <c r="I104">
        <v>9.1962735173340596E-2</v>
      </c>
      <c r="J104" s="1">
        <v>1.1978895502372099E-3</v>
      </c>
      <c r="K104">
        <v>2.43756893988753E-2</v>
      </c>
      <c r="L104">
        <v>1.7627478740917499E-2</v>
      </c>
      <c r="M104">
        <v>-6.0097694280115799E-2</v>
      </c>
      <c r="N104" s="1">
        <v>7.7440181684256507E-6</v>
      </c>
      <c r="O104" t="s">
        <v>45</v>
      </c>
      <c r="P104" t="s">
        <v>75</v>
      </c>
      <c r="Y104">
        <v>0.40486197442947602</v>
      </c>
    </row>
    <row r="105" spans="1:25" x14ac:dyDescent="0.2">
      <c r="A105" t="s">
        <v>149</v>
      </c>
      <c r="B105" t="s">
        <v>8</v>
      </c>
      <c r="C105" t="s">
        <v>8</v>
      </c>
      <c r="D105" t="s">
        <v>8</v>
      </c>
      <c r="E105" t="s">
        <v>8</v>
      </c>
      <c r="F105" t="s">
        <v>8</v>
      </c>
      <c r="I105">
        <v>1.7172141538984099E-2</v>
      </c>
      <c r="J105">
        <v>0.34483205076163098</v>
      </c>
      <c r="K105">
        <v>1.69507977277484E-2</v>
      </c>
      <c r="L105">
        <v>0.186684672720553</v>
      </c>
      <c r="M105">
        <v>1.7172141538984099E-2</v>
      </c>
      <c r="N105">
        <v>0.34483205076163098</v>
      </c>
      <c r="Y105">
        <v>0.75183370641581704</v>
      </c>
    </row>
    <row r="106" spans="1:25" x14ac:dyDescent="0.2">
      <c r="A106" t="s">
        <v>37</v>
      </c>
      <c r="B106">
        <v>4.4235908564821003</v>
      </c>
      <c r="C106">
        <v>9.30664824583851E-2</v>
      </c>
      <c r="D106">
        <v>2015</v>
      </c>
      <c r="E106">
        <v>14</v>
      </c>
      <c r="F106">
        <v>10</v>
      </c>
      <c r="G106">
        <v>4.4920193449428901E-2</v>
      </c>
      <c r="H106">
        <v>0.59357422231648405</v>
      </c>
      <c r="I106">
        <v>4.4920193449428901E-2</v>
      </c>
      <c r="J106">
        <v>0.59357422231648405</v>
      </c>
      <c r="K106">
        <v>-4.0492348304653203E-3</v>
      </c>
      <c r="L106">
        <v>0.83471318737807698</v>
      </c>
      <c r="M106">
        <v>9.7394653490423699E-2</v>
      </c>
      <c r="N106">
        <v>6.5999870650367996E-3</v>
      </c>
      <c r="O106" t="s">
        <v>45</v>
      </c>
      <c r="P106" s="2" t="s">
        <v>76</v>
      </c>
      <c r="Y106">
        <v>0.24281202998127099</v>
      </c>
    </row>
    <row r="107" spans="1:25" x14ac:dyDescent="0.2">
      <c r="A107" t="s">
        <v>150</v>
      </c>
      <c r="I107">
        <v>-3.2747477188709899E-2</v>
      </c>
      <c r="J107">
        <v>0.45155768367142102</v>
      </c>
      <c r="K107">
        <v>-2.7946374619523099E-2</v>
      </c>
      <c r="L107">
        <v>0.34684186916888698</v>
      </c>
      <c r="M107">
        <v>-3.2747477188709899E-2</v>
      </c>
      <c r="N107">
        <v>0.45155768367142102</v>
      </c>
      <c r="Y107">
        <v>0.64718000000000397</v>
      </c>
    </row>
    <row r="108" spans="1:25" x14ac:dyDescent="0.2">
      <c r="A108" t="s">
        <v>151</v>
      </c>
      <c r="I108">
        <v>-4.87408123052155E-2</v>
      </c>
      <c r="J108">
        <v>4.3856194182758301E-3</v>
      </c>
      <c r="K108">
        <v>-3.3396954744240197E-2</v>
      </c>
      <c r="L108">
        <v>3.6537465787659699E-2</v>
      </c>
      <c r="M108">
        <v>-4.87408123052155E-2</v>
      </c>
      <c r="N108">
        <v>4.3856194182758301E-3</v>
      </c>
      <c r="Y108">
        <v>1.04498974522046</v>
      </c>
    </row>
    <row r="109" spans="1:25" x14ac:dyDescent="0.2">
      <c r="A109" t="s">
        <v>152</v>
      </c>
      <c r="I109">
        <v>-3.4126558470586599E-2</v>
      </c>
      <c r="J109">
        <v>1.8085288857384901E-2</v>
      </c>
      <c r="K109">
        <v>-2.3546387913607799E-2</v>
      </c>
      <c r="L109">
        <v>6.8611846391754702E-2</v>
      </c>
      <c r="M109">
        <v>-3.4126558470586599E-2</v>
      </c>
      <c r="N109">
        <v>1.8085288857384901E-2</v>
      </c>
      <c r="Y109">
        <v>1.12650203296356</v>
      </c>
    </row>
    <row r="117" spans="1:25" x14ac:dyDescent="0.2">
      <c r="A117" t="s">
        <v>121</v>
      </c>
      <c r="B117" t="s">
        <v>8</v>
      </c>
      <c r="C117" t="s">
        <v>8</v>
      </c>
      <c r="D117" t="s">
        <v>8</v>
      </c>
      <c r="E117" t="s">
        <v>8</v>
      </c>
      <c r="F117" t="s">
        <v>8</v>
      </c>
      <c r="I117">
        <v>-2.3360774623454199E-2</v>
      </c>
      <c r="J117">
        <v>0.197398341257529</v>
      </c>
      <c r="K117">
        <v>1.98636847465237E-2</v>
      </c>
      <c r="L117">
        <v>0.10289559295431901</v>
      </c>
      <c r="M117">
        <v>-2.3360774623454199E-2</v>
      </c>
      <c r="N117">
        <v>0.197398341257529</v>
      </c>
      <c r="Y117">
        <v>0.66117917781917002</v>
      </c>
    </row>
    <row r="118" spans="1:25" x14ac:dyDescent="0.2">
      <c r="A118" t="s">
        <v>145</v>
      </c>
      <c r="B118" t="s">
        <v>8</v>
      </c>
      <c r="C118" t="s">
        <v>8</v>
      </c>
      <c r="D118" t="s">
        <v>8</v>
      </c>
      <c r="E118" t="s">
        <v>8</v>
      </c>
      <c r="F118" t="s">
        <v>8</v>
      </c>
      <c r="I118">
        <v>4.0320828601074499E-2</v>
      </c>
      <c r="J118">
        <v>3.4839854654255001E-2</v>
      </c>
      <c r="K118">
        <v>1.30670655597923E-2</v>
      </c>
      <c r="L118">
        <v>0.27581742404181597</v>
      </c>
      <c r="M118">
        <v>4.0320828601074499E-2</v>
      </c>
      <c r="N118">
        <v>3.4839854654255001E-2</v>
      </c>
      <c r="Y118">
        <v>0.78490827567083299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F3D2-955E-BC44-A75D-301A2380D8FF}">
  <dimension ref="A1:R121"/>
  <sheetViews>
    <sheetView tabSelected="1" topLeftCell="A91" workbookViewId="0">
      <selection activeCell="L115" sqref="L115"/>
    </sheetView>
  </sheetViews>
  <sheetFormatPr baseColWidth="10" defaultRowHeight="16" x14ac:dyDescent="0.2"/>
  <cols>
    <col min="7" max="7" width="13.1640625" customWidth="1"/>
    <col min="8" max="8" width="14" customWidth="1"/>
    <col min="9" max="9" width="10.83203125" customWidth="1"/>
    <col min="10" max="12" width="11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157</v>
      </c>
      <c r="H1" t="s">
        <v>158</v>
      </c>
      <c r="I1" t="s">
        <v>6</v>
      </c>
      <c r="J1" t="s">
        <v>7</v>
      </c>
      <c r="K1" t="s">
        <v>161</v>
      </c>
      <c r="L1" t="s">
        <v>162</v>
      </c>
      <c r="M1" t="s">
        <v>159</v>
      </c>
      <c r="N1" t="s">
        <v>160</v>
      </c>
    </row>
    <row r="2" spans="1:15" x14ac:dyDescent="0.2">
      <c r="A2" t="s">
        <v>79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I2">
        <v>1.4856869999999999E-2</v>
      </c>
      <c r="J2">
        <v>0.48444420900000001</v>
      </c>
      <c r="K2">
        <v>1.2413841741116699E-2</v>
      </c>
      <c r="L2">
        <v>0.47637437214335399</v>
      </c>
      <c r="M2">
        <v>1.4856869999999999E-2</v>
      </c>
      <c r="N2">
        <v>0.48444420900000001</v>
      </c>
    </row>
    <row r="3" spans="1:15" x14ac:dyDescent="0.2">
      <c r="A3" t="s">
        <v>80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I3">
        <v>-1.1987571000000001E-2</v>
      </c>
      <c r="J3">
        <v>0.43526788999999999</v>
      </c>
      <c r="K3">
        <v>-2.41673047426951E-2</v>
      </c>
      <c r="L3">
        <v>1.2088847835995601E-2</v>
      </c>
      <c r="M3">
        <v>-1.1987571000000001E-2</v>
      </c>
      <c r="N3">
        <v>0.43526788999999999</v>
      </c>
    </row>
    <row r="4" spans="1:15" x14ac:dyDescent="0.2">
      <c r="A4" t="s">
        <v>38</v>
      </c>
      <c r="B4">
        <v>4.5603951904103397</v>
      </c>
      <c r="C4">
        <v>0.137552225975274</v>
      </c>
      <c r="D4">
        <v>2019</v>
      </c>
      <c r="E4">
        <v>14</v>
      </c>
      <c r="F4">
        <v>9</v>
      </c>
      <c r="G4">
        <v>4.6348409215826503E-2</v>
      </c>
      <c r="H4">
        <v>2.7056638006112001E-2</v>
      </c>
      <c r="I4">
        <v>4.6348409215826503E-2</v>
      </c>
      <c r="J4">
        <v>2.7056638006112001E-2</v>
      </c>
      <c r="K4">
        <v>4.2973934854613503E-2</v>
      </c>
      <c r="L4">
        <v>1.77404593251209E-3</v>
      </c>
      <c r="M4">
        <v>-9.3449640000000007E-3</v>
      </c>
      <c r="N4">
        <v>0.25980741299999999</v>
      </c>
    </row>
    <row r="5" spans="1:15" x14ac:dyDescent="0.2">
      <c r="A5" t="s">
        <v>81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I5">
        <v>4.7738958999999997E-2</v>
      </c>
      <c r="J5" s="1">
        <v>3.3088385938289199E-5</v>
      </c>
      <c r="K5">
        <v>3.3057940229297499E-2</v>
      </c>
      <c r="L5" s="1">
        <v>4.3311880104773903E-5</v>
      </c>
      <c r="M5">
        <v>4.7738958999999997E-2</v>
      </c>
      <c r="N5" s="1">
        <v>3.3088385938289199E-5</v>
      </c>
      <c r="O5" s="1"/>
    </row>
    <row r="6" spans="1:15" x14ac:dyDescent="0.2">
      <c r="A6" t="s">
        <v>39</v>
      </c>
      <c r="B6">
        <v>2.0554399766840601</v>
      </c>
      <c r="C6">
        <v>0.46403238409206099</v>
      </c>
      <c r="D6">
        <v>2011</v>
      </c>
      <c r="E6">
        <v>14</v>
      </c>
      <c r="F6">
        <v>14</v>
      </c>
      <c r="G6">
        <v>4.8608376172645198E-2</v>
      </c>
      <c r="H6">
        <v>4.1518921930542303E-2</v>
      </c>
      <c r="I6">
        <v>4.8608376172645198E-2</v>
      </c>
      <c r="J6">
        <v>4.1518921930542303E-2</v>
      </c>
      <c r="K6">
        <v>1.08561263074053E-2</v>
      </c>
      <c r="L6">
        <v>0.272781179706305</v>
      </c>
      <c r="M6">
        <v>1.1289364E-2</v>
      </c>
      <c r="N6">
        <v>0.50873918100000004</v>
      </c>
    </row>
    <row r="7" spans="1:15" x14ac:dyDescent="0.2">
      <c r="A7" t="s">
        <v>82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I7">
        <v>2.0379663999999999E-2</v>
      </c>
      <c r="J7">
        <v>0.166956467</v>
      </c>
      <c r="K7">
        <v>8.5532994835192701E-3</v>
      </c>
      <c r="L7">
        <v>0.48186755507720003</v>
      </c>
      <c r="M7">
        <v>2.0379663999999999E-2</v>
      </c>
      <c r="N7">
        <v>0.166956467</v>
      </c>
    </row>
    <row r="8" spans="1:15" x14ac:dyDescent="0.2">
      <c r="A8" t="s">
        <v>83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I8">
        <v>1.0849291E-2</v>
      </c>
      <c r="J8">
        <v>0.160514877</v>
      </c>
      <c r="K8">
        <v>1.2908177080061201E-2</v>
      </c>
      <c r="L8">
        <v>1.6797608809829102E-2</v>
      </c>
      <c r="M8">
        <v>1.0849291E-2</v>
      </c>
      <c r="N8">
        <v>0.160514877</v>
      </c>
    </row>
    <row r="9" spans="1:15" x14ac:dyDescent="0.2">
      <c r="A9" t="s">
        <v>84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I9">
        <v>2.4981629000000002E-2</v>
      </c>
      <c r="J9">
        <v>3.3346963E-2</v>
      </c>
      <c r="K9">
        <v>6.53324274882111E-3</v>
      </c>
      <c r="L9">
        <v>0.50669130144048502</v>
      </c>
      <c r="M9">
        <v>2.4981629000000002E-2</v>
      </c>
      <c r="N9">
        <v>3.3346963E-2</v>
      </c>
    </row>
    <row r="10" spans="1:15" x14ac:dyDescent="0.2">
      <c r="A10" t="s">
        <v>85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I10">
        <v>-3.5554739999999999E-3</v>
      </c>
      <c r="J10">
        <v>0.91742594700000002</v>
      </c>
      <c r="K10">
        <v>-2.00788567110721E-2</v>
      </c>
      <c r="L10">
        <v>0.59455748727484403</v>
      </c>
      <c r="M10">
        <v>-3.5554739999999999E-3</v>
      </c>
      <c r="N10">
        <v>0.91742594700000002</v>
      </c>
    </row>
    <row r="11" spans="1:15" x14ac:dyDescent="0.2">
      <c r="A11" t="s">
        <v>86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I11">
        <v>-2.8981882E-2</v>
      </c>
      <c r="J11">
        <v>9.1319160999999996E-2</v>
      </c>
      <c r="K11">
        <v>-2.7134725296359501E-2</v>
      </c>
      <c r="L11">
        <v>0.233794709572299</v>
      </c>
      <c r="M11">
        <v>-2.8981882E-2</v>
      </c>
      <c r="N11">
        <v>9.1319160999999996E-2</v>
      </c>
    </row>
    <row r="12" spans="1:15" x14ac:dyDescent="0.2">
      <c r="A12" t="s">
        <v>40</v>
      </c>
      <c r="B12">
        <v>1.0921186812144299</v>
      </c>
      <c r="C12">
        <v>0.670135253766735</v>
      </c>
      <c r="D12">
        <v>2007</v>
      </c>
      <c r="E12">
        <v>14</v>
      </c>
      <c r="F12">
        <v>12</v>
      </c>
      <c r="G12">
        <v>-3.38186208643051E-2</v>
      </c>
      <c r="H12">
        <v>9.0744495971960201E-3</v>
      </c>
      <c r="I12">
        <v>-3.38186208643051E-2</v>
      </c>
      <c r="J12">
        <v>9.0744495971960201E-3</v>
      </c>
      <c r="K12">
        <v>-2.8905742078317299E-2</v>
      </c>
      <c r="L12">
        <v>9.9092944219633192E-3</v>
      </c>
      <c r="M12">
        <v>-4.7973402999999998E-2</v>
      </c>
      <c r="N12" s="1">
        <v>1.22071488464165E-8</v>
      </c>
      <c r="O12" s="1"/>
    </row>
    <row r="13" spans="1:15" x14ac:dyDescent="0.2">
      <c r="A13" t="s">
        <v>87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I13">
        <v>4.6497315999999997E-2</v>
      </c>
      <c r="J13">
        <v>2.4053599999999999E-4</v>
      </c>
      <c r="K13">
        <v>1.6116331055357799E-2</v>
      </c>
      <c r="L13">
        <v>3.4493339290179399E-2</v>
      </c>
      <c r="M13">
        <v>4.6497315999999997E-2</v>
      </c>
      <c r="N13">
        <v>2.4053599999999999E-4</v>
      </c>
    </row>
    <row r="14" spans="1:15" x14ac:dyDescent="0.2">
      <c r="A14" t="s">
        <v>88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I14">
        <v>-3.1091529999999999E-3</v>
      </c>
      <c r="J14">
        <v>0.64566766600000003</v>
      </c>
      <c r="K14">
        <v>-2.39836602061415E-3</v>
      </c>
      <c r="L14">
        <v>0.61217107959729999</v>
      </c>
      <c r="M14">
        <v>-3.1091529999999999E-3</v>
      </c>
      <c r="N14">
        <v>0.64566766600000003</v>
      </c>
    </row>
    <row r="15" spans="1:15" x14ac:dyDescent="0.2">
      <c r="A15" t="s">
        <v>41</v>
      </c>
      <c r="B15">
        <v>1.23699848150623</v>
      </c>
      <c r="C15">
        <v>0.47450279415159402</v>
      </c>
      <c r="D15">
        <v>2015</v>
      </c>
      <c r="E15">
        <v>14</v>
      </c>
      <c r="F15">
        <v>10</v>
      </c>
      <c r="G15">
        <v>-4.3977297533369299E-4</v>
      </c>
      <c r="H15">
        <v>0.98858087326819399</v>
      </c>
      <c r="I15">
        <v>-4.3977297533369299E-4</v>
      </c>
      <c r="J15">
        <v>0.98858087326819399</v>
      </c>
      <c r="K15">
        <v>6.9414430610397699E-3</v>
      </c>
      <c r="L15">
        <v>0.59531733459249503</v>
      </c>
      <c r="M15">
        <v>-2.9187465999999999E-2</v>
      </c>
      <c r="N15">
        <v>4.5706049999999998E-2</v>
      </c>
    </row>
    <row r="16" spans="1:15" x14ac:dyDescent="0.2">
      <c r="A16" t="s">
        <v>42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I16">
        <v>-2.7583310999999999E-2</v>
      </c>
      <c r="J16">
        <v>3.5415702E-2</v>
      </c>
      <c r="K16">
        <v>2.0812699027707899E-2</v>
      </c>
      <c r="L16">
        <v>5.1634659935987801E-2</v>
      </c>
      <c r="M16">
        <v>-2.7583310999999999E-2</v>
      </c>
      <c r="N16">
        <v>3.5415702E-2</v>
      </c>
    </row>
    <row r="17" spans="1:18" x14ac:dyDescent="0.2">
      <c r="A17" t="s">
        <v>89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I17">
        <v>2.1329016999999999E-2</v>
      </c>
      <c r="J17">
        <v>6.3748303000000006E-2</v>
      </c>
      <c r="K17">
        <v>1.8982017274973E-2</v>
      </c>
      <c r="L17">
        <v>8.9632693094271795E-3</v>
      </c>
      <c r="M17">
        <v>2.1329016999999999E-2</v>
      </c>
      <c r="N17">
        <v>6.3748303000000006E-2</v>
      </c>
    </row>
    <row r="18" spans="1:18" x14ac:dyDescent="0.2">
      <c r="A18" t="s">
        <v>90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I18">
        <v>4.4998231E-2</v>
      </c>
      <c r="J18">
        <v>2.3876069999999999E-3</v>
      </c>
      <c r="K18">
        <v>1.2019822841721799E-2</v>
      </c>
      <c r="L18">
        <v>0.26307941162182902</v>
      </c>
      <c r="M18">
        <v>4.4998231E-2</v>
      </c>
      <c r="N18">
        <v>2.3876069999999999E-3</v>
      </c>
    </row>
    <row r="19" spans="1:18" x14ac:dyDescent="0.2">
      <c r="A19" t="s">
        <v>91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I19">
        <v>1.9052046E-2</v>
      </c>
      <c r="J19">
        <v>6.8141202999999997E-2</v>
      </c>
      <c r="K19">
        <v>2.4058560174373401E-2</v>
      </c>
      <c r="L19">
        <v>7.7496235083683996E-4</v>
      </c>
      <c r="M19">
        <v>1.9052046E-2</v>
      </c>
      <c r="N19">
        <v>6.8141202999999997E-2</v>
      </c>
    </row>
    <row r="20" spans="1:18" x14ac:dyDescent="0.2">
      <c r="A20" t="s">
        <v>92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I20">
        <v>-1.0564609000000001E-2</v>
      </c>
      <c r="J20">
        <v>0.17953680699999999</v>
      </c>
      <c r="K20">
        <v>-6.4494924790824302E-3</v>
      </c>
      <c r="L20">
        <v>0.202693664295231</v>
      </c>
      <c r="M20">
        <v>-1.0564609000000001E-2</v>
      </c>
      <c r="N20">
        <v>0.17953680699999999</v>
      </c>
    </row>
    <row r="21" spans="1:18" x14ac:dyDescent="0.2">
      <c r="A21" t="s">
        <v>93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I21">
        <v>9.6282869999999993E-3</v>
      </c>
      <c r="J21">
        <v>0.50376948700000002</v>
      </c>
      <c r="K21">
        <v>1.0733262766646601E-2</v>
      </c>
      <c r="L21">
        <v>0.46315105176587001</v>
      </c>
      <c r="M21">
        <v>9.6282869999999993E-3</v>
      </c>
      <c r="N21">
        <v>0.50376948700000002</v>
      </c>
    </row>
    <row r="22" spans="1:18" x14ac:dyDescent="0.2">
      <c r="A22" t="s">
        <v>43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I22">
        <v>1.205932E-2</v>
      </c>
      <c r="J22">
        <v>0.57148056300000005</v>
      </c>
      <c r="K22">
        <v>7.5816086286142398E-3</v>
      </c>
      <c r="L22">
        <v>0.58353553492622201</v>
      </c>
      <c r="M22">
        <v>1.205932E-2</v>
      </c>
      <c r="N22">
        <v>0.57148056300000005</v>
      </c>
    </row>
    <row r="23" spans="1:18" x14ac:dyDescent="0.2">
      <c r="A23" t="s">
        <v>94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I23">
        <v>2.5369019999999999E-2</v>
      </c>
      <c r="J23">
        <v>0.59764110699999995</v>
      </c>
      <c r="K23">
        <v>2.0326467689790399E-2</v>
      </c>
      <c r="L23">
        <v>0.59764110699999995</v>
      </c>
      <c r="M23">
        <v>2.5369019999999999E-2</v>
      </c>
      <c r="N23">
        <v>0.59764110699999995</v>
      </c>
      <c r="Q23">
        <v>0.103264676897904</v>
      </c>
      <c r="R23">
        <v>3.6299684416257701E-2</v>
      </c>
    </row>
    <row r="24" spans="1:18" x14ac:dyDescent="0.2">
      <c r="A24" t="s">
        <v>44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>
        <v>-9.6412216514619297E-3</v>
      </c>
      <c r="H24">
        <v>0.80331913203340299</v>
      </c>
      <c r="I24">
        <v>-9.6412216514619297E-3</v>
      </c>
      <c r="J24">
        <v>0.80331913203340299</v>
      </c>
      <c r="K24">
        <v>-9.6412216514619297E-3</v>
      </c>
      <c r="L24">
        <v>0.80331913203340299</v>
      </c>
      <c r="M24">
        <v>-0.169765308</v>
      </c>
      <c r="N24">
        <v>3.4978990000000001E-3</v>
      </c>
      <c r="Q24">
        <v>-0.169765308</v>
      </c>
      <c r="R24">
        <v>3.4978990000000001E-3</v>
      </c>
    </row>
    <row r="25" spans="1:18" x14ac:dyDescent="0.2">
      <c r="A25" t="s">
        <v>95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I25">
        <v>-1.2127880000000001E-2</v>
      </c>
      <c r="J25">
        <v>0.49603795299999998</v>
      </c>
      <c r="K25">
        <v>1.27175012799577E-2</v>
      </c>
      <c r="L25">
        <v>0.30711499955549199</v>
      </c>
      <c r="M25">
        <v>-1.2127880000000001E-2</v>
      </c>
      <c r="N25">
        <v>0.49603795299999998</v>
      </c>
    </row>
    <row r="26" spans="1:18" x14ac:dyDescent="0.2">
      <c r="A26" t="s">
        <v>96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I26">
        <v>6.8323990000000003E-3</v>
      </c>
      <c r="J26">
        <v>0.824777698</v>
      </c>
      <c r="K26">
        <v>1.39305497730017E-2</v>
      </c>
      <c r="L26">
        <v>0.252738644647439</v>
      </c>
      <c r="M26">
        <v>6.8323990000000003E-3</v>
      </c>
      <c r="N26">
        <v>0.824777698</v>
      </c>
    </row>
    <row r="27" spans="1:18" x14ac:dyDescent="0.2">
      <c r="A27" t="s">
        <v>97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I27">
        <v>-2.978283E-3</v>
      </c>
      <c r="J27">
        <v>0.72747424800000005</v>
      </c>
      <c r="K27">
        <v>-2.64601581820057E-2</v>
      </c>
      <c r="L27">
        <v>1.99927980893976E-2</v>
      </c>
      <c r="M27">
        <v>-2.978283E-3</v>
      </c>
      <c r="N27">
        <v>0.72747424800000005</v>
      </c>
    </row>
    <row r="28" spans="1:18" x14ac:dyDescent="0.2">
      <c r="A28" t="s">
        <v>9</v>
      </c>
      <c r="B28">
        <v>1.7914529167345701</v>
      </c>
      <c r="C28">
        <v>0.440810666589661</v>
      </c>
      <c r="D28">
        <v>2016</v>
      </c>
      <c r="E28">
        <v>14</v>
      </c>
      <c r="F28">
        <v>8</v>
      </c>
      <c r="G28">
        <v>2.6713498103452499E-2</v>
      </c>
      <c r="H28">
        <v>7.4979298640154901E-2</v>
      </c>
      <c r="I28">
        <v>2.6713498103452499E-2</v>
      </c>
      <c r="J28">
        <v>7.4979298640154901E-2</v>
      </c>
      <c r="K28">
        <v>1.81326731329472E-2</v>
      </c>
      <c r="L28">
        <v>6.4235586127199595E-2</v>
      </c>
      <c r="M28">
        <v>-2.4146224000000001E-2</v>
      </c>
      <c r="N28">
        <v>1.8562637E-2</v>
      </c>
    </row>
    <row r="29" spans="1:18" x14ac:dyDescent="0.2">
      <c r="A29" t="s">
        <v>10</v>
      </c>
      <c r="B29">
        <v>3.2090417982650798</v>
      </c>
      <c r="C29">
        <v>0.340964257354536</v>
      </c>
      <c r="D29">
        <v>2010</v>
      </c>
      <c r="E29">
        <v>14</v>
      </c>
      <c r="F29">
        <v>7</v>
      </c>
      <c r="G29">
        <v>-2.0138565620186701E-2</v>
      </c>
      <c r="H29">
        <v>0.171771107529232</v>
      </c>
      <c r="I29">
        <v>-2.0138565620186701E-2</v>
      </c>
      <c r="J29">
        <v>0.171771107529232</v>
      </c>
      <c r="K29">
        <v>-1.38234882413334E-2</v>
      </c>
      <c r="L29">
        <v>0.16443809898924899</v>
      </c>
      <c r="M29">
        <v>-9.128387E-3</v>
      </c>
      <c r="N29">
        <v>0.25243146300000002</v>
      </c>
    </row>
    <row r="30" spans="1:18" x14ac:dyDescent="0.2">
      <c r="A30" t="s">
        <v>98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I30">
        <v>5.5176597000000001E-2</v>
      </c>
      <c r="J30" s="1">
        <v>4.7677752375789001E-5</v>
      </c>
      <c r="K30">
        <v>2.9913395337355E-2</v>
      </c>
      <c r="L30">
        <v>6.7090512824668602E-4</v>
      </c>
      <c r="M30">
        <v>5.5176597000000001E-2</v>
      </c>
      <c r="N30" s="1">
        <v>4.7677752375789001E-5</v>
      </c>
      <c r="O30" s="1"/>
    </row>
    <row r="31" spans="1:18" x14ac:dyDescent="0.2">
      <c r="A31" t="s">
        <v>99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I31">
        <v>8.72079E-4</v>
      </c>
      <c r="J31">
        <v>0.93845915099999999</v>
      </c>
      <c r="K31">
        <v>2.01578739926783E-2</v>
      </c>
      <c r="L31">
        <v>1.8859121371009299E-2</v>
      </c>
      <c r="M31">
        <v>8.72079E-4</v>
      </c>
      <c r="N31">
        <v>0.93845915099999999</v>
      </c>
    </row>
    <row r="32" spans="1:18" x14ac:dyDescent="0.2">
      <c r="A32" t="s">
        <v>11</v>
      </c>
      <c r="B32">
        <v>3.54267866154898</v>
      </c>
      <c r="C32">
        <v>0.12912042730769699</v>
      </c>
      <c r="D32">
        <v>2006</v>
      </c>
      <c r="E32">
        <v>14</v>
      </c>
      <c r="F32">
        <v>9</v>
      </c>
      <c r="G32">
        <v>4.8472997100517098E-2</v>
      </c>
      <c r="H32">
        <v>0.10898033206752999</v>
      </c>
      <c r="I32">
        <v>4.8472997100517098E-2</v>
      </c>
      <c r="J32">
        <v>0.10898033206752999</v>
      </c>
      <c r="K32">
        <v>2.5701433681035599E-2</v>
      </c>
      <c r="L32">
        <v>0.13133400045639801</v>
      </c>
      <c r="M32">
        <v>-3.9730868000000003E-2</v>
      </c>
      <c r="N32">
        <v>0.11910969</v>
      </c>
    </row>
    <row r="33" spans="1:15" x14ac:dyDescent="0.2">
      <c r="A33" t="s">
        <v>100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I33">
        <v>2.3768579999999999E-3</v>
      </c>
      <c r="J33">
        <v>0.85872863200000005</v>
      </c>
      <c r="K33">
        <v>2.6115458352868499E-2</v>
      </c>
      <c r="L33">
        <v>1.9047375209820801E-3</v>
      </c>
      <c r="M33">
        <v>2.3768579999999999E-3</v>
      </c>
      <c r="N33">
        <v>0.85872863200000005</v>
      </c>
    </row>
    <row r="34" spans="1:15" x14ac:dyDescent="0.2">
      <c r="A34" t="s">
        <v>101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I34">
        <v>1.0249362E-2</v>
      </c>
      <c r="J34">
        <v>0.23669220499999999</v>
      </c>
      <c r="K34">
        <v>3.2011363669934803E-2</v>
      </c>
      <c r="L34" s="1">
        <v>5.0415573920652801E-5</v>
      </c>
      <c r="M34">
        <v>1.0249362E-2</v>
      </c>
      <c r="N34">
        <v>0.23669220499999999</v>
      </c>
    </row>
    <row r="35" spans="1:15" x14ac:dyDescent="0.2">
      <c r="A35" t="s">
        <v>12</v>
      </c>
      <c r="B35">
        <v>2.7293502631750002</v>
      </c>
      <c r="C35">
        <v>0.347342549319335</v>
      </c>
      <c r="D35">
        <v>2023</v>
      </c>
      <c r="E35">
        <v>14</v>
      </c>
      <c r="F35">
        <v>15</v>
      </c>
      <c r="G35">
        <v>2.9469106752837301E-2</v>
      </c>
      <c r="H35">
        <v>7.52825809060875E-3</v>
      </c>
      <c r="I35">
        <v>2.9469106752837301E-2</v>
      </c>
      <c r="J35">
        <v>7.52825809060875E-3</v>
      </c>
      <c r="K35">
        <v>1.89324526398221E-2</v>
      </c>
      <c r="L35">
        <v>1.70704160713777E-2</v>
      </c>
      <c r="M35">
        <v>-7.8758729E-2</v>
      </c>
      <c r="N35" s="1">
        <v>9.8775238666812207E-24</v>
      </c>
      <c r="O35" s="1"/>
    </row>
    <row r="36" spans="1:15" x14ac:dyDescent="0.2">
      <c r="A36" t="s">
        <v>102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I36">
        <v>2.8739988000000001E-2</v>
      </c>
      <c r="J36">
        <v>0.139975402</v>
      </c>
      <c r="K36">
        <v>2.7143395712643402E-3</v>
      </c>
      <c r="L36">
        <v>0.82304573920250901</v>
      </c>
      <c r="M36">
        <v>2.8739988000000001E-2</v>
      </c>
      <c r="N36">
        <v>0.139975402</v>
      </c>
    </row>
    <row r="37" spans="1:15" x14ac:dyDescent="0.2">
      <c r="A37" t="s">
        <v>103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I37">
        <v>1.3850355999999999E-2</v>
      </c>
      <c r="J37">
        <v>0.56039610799999995</v>
      </c>
      <c r="K37">
        <v>3.6089969539724702E-2</v>
      </c>
      <c r="L37">
        <v>3.1603727496238798E-2</v>
      </c>
      <c r="M37">
        <v>1.3850355999999999E-2</v>
      </c>
      <c r="N37">
        <v>0.56039610799999995</v>
      </c>
    </row>
    <row r="38" spans="1:15" x14ac:dyDescent="0.2">
      <c r="A38" t="s">
        <v>104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I38">
        <v>3.8396183E-2</v>
      </c>
      <c r="J38">
        <v>1.818942E-3</v>
      </c>
      <c r="K38">
        <v>4.2286303987895998E-2</v>
      </c>
      <c r="L38" s="1">
        <v>1.00773976709046E-6</v>
      </c>
      <c r="M38">
        <v>3.8396183E-2</v>
      </c>
      <c r="N38">
        <v>1.818942E-3</v>
      </c>
    </row>
    <row r="39" spans="1:15" x14ac:dyDescent="0.2">
      <c r="A39" t="s">
        <v>13</v>
      </c>
      <c r="B39">
        <v>3.22907019509756</v>
      </c>
      <c r="C39">
        <v>0.139242350024188</v>
      </c>
      <c r="D39">
        <v>2010</v>
      </c>
      <c r="E39">
        <v>14</v>
      </c>
      <c r="F39">
        <v>8</v>
      </c>
      <c r="G39">
        <v>1.63080183746292E-2</v>
      </c>
      <c r="H39">
        <v>0.59483966386009701</v>
      </c>
      <c r="I39">
        <v>1.63080183746292E-2</v>
      </c>
      <c r="J39">
        <v>0.59483966386009701</v>
      </c>
      <c r="K39">
        <v>6.3146466211990897E-3</v>
      </c>
      <c r="L39">
        <v>0.64672326587579698</v>
      </c>
      <c r="M39">
        <v>3.7854055999999997E-2</v>
      </c>
      <c r="N39">
        <v>6.0854511E-2</v>
      </c>
    </row>
    <row r="40" spans="1:15" x14ac:dyDescent="0.2">
      <c r="A40" t="s">
        <v>14</v>
      </c>
      <c r="B40">
        <v>1.28624612303139</v>
      </c>
      <c r="C40">
        <v>0.62973014284152995</v>
      </c>
      <c r="D40">
        <v>2008</v>
      </c>
      <c r="E40">
        <v>14</v>
      </c>
      <c r="F40">
        <v>11</v>
      </c>
      <c r="G40">
        <v>-3.4268519804600002E-2</v>
      </c>
      <c r="H40">
        <v>6.0276580873281999E-2</v>
      </c>
      <c r="I40">
        <v>-3.4268519804600002E-2</v>
      </c>
      <c r="J40">
        <v>6.0276580873281999E-2</v>
      </c>
      <c r="K40">
        <v>-1.25553659580204E-2</v>
      </c>
      <c r="L40">
        <v>2.2068957558795298E-2</v>
      </c>
      <c r="M40">
        <v>-3.8494206000000003E-2</v>
      </c>
      <c r="N40">
        <v>2.3277900000000002E-3</v>
      </c>
    </row>
    <row r="41" spans="1:15" x14ac:dyDescent="0.2">
      <c r="A41" t="s">
        <v>15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I41">
        <v>1.1743072E-2</v>
      </c>
      <c r="J41">
        <v>0.38405093099999998</v>
      </c>
      <c r="K41">
        <v>2.0591094836226401E-2</v>
      </c>
      <c r="L41">
        <v>6.8591945450581004E-2</v>
      </c>
      <c r="M41">
        <v>1.1743072E-2</v>
      </c>
      <c r="N41">
        <v>0.38405093099999998</v>
      </c>
    </row>
    <row r="42" spans="1:15" x14ac:dyDescent="0.2">
      <c r="A42" t="s">
        <v>16</v>
      </c>
      <c r="B42">
        <v>0.96395424801831198</v>
      </c>
      <c r="C42">
        <v>0.13350505848229999</v>
      </c>
      <c r="D42">
        <v>2016</v>
      </c>
      <c r="E42">
        <v>14</v>
      </c>
      <c r="F42">
        <v>18</v>
      </c>
      <c r="G42">
        <v>-6.2181288543091701E-3</v>
      </c>
      <c r="H42">
        <v>0.78932954520546095</v>
      </c>
      <c r="I42">
        <v>-6.2181288543091701E-3</v>
      </c>
      <c r="J42">
        <v>0.78932954520546095</v>
      </c>
      <c r="K42" s="1">
        <v>9.4101632769988505E-5</v>
      </c>
      <c r="L42">
        <v>0.99688676745760996</v>
      </c>
      <c r="M42">
        <v>6.914407E-3</v>
      </c>
      <c r="N42">
        <v>0.75751289700000002</v>
      </c>
    </row>
    <row r="43" spans="1:15" x14ac:dyDescent="0.2">
      <c r="A43" t="s">
        <v>105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I43">
        <v>-2.4363314E-2</v>
      </c>
      <c r="J43">
        <v>0.118782948</v>
      </c>
      <c r="K43">
        <v>9.3322229456923693E-3</v>
      </c>
      <c r="L43">
        <v>0.47649201949904901</v>
      </c>
      <c r="M43">
        <v>-2.4363314E-2</v>
      </c>
      <c r="N43">
        <v>0.118782948</v>
      </c>
    </row>
    <row r="44" spans="1:15" x14ac:dyDescent="0.2">
      <c r="A44" t="s">
        <v>17</v>
      </c>
      <c r="B44">
        <v>1.9269802181031099</v>
      </c>
      <c r="C44">
        <v>0.309607646488952</v>
      </c>
      <c r="D44">
        <v>2009</v>
      </c>
      <c r="E44">
        <v>14</v>
      </c>
      <c r="F44">
        <v>8</v>
      </c>
      <c r="G44">
        <v>1.1946294755399999E-2</v>
      </c>
      <c r="H44">
        <v>0.14904561024806401</v>
      </c>
      <c r="I44">
        <v>1.1946294755399999E-2</v>
      </c>
      <c r="J44">
        <v>0.14904561024806401</v>
      </c>
      <c r="K44">
        <v>1.10094749955672E-2</v>
      </c>
      <c r="L44">
        <v>0.14007731662783801</v>
      </c>
      <c r="M44">
        <v>-1.3473749E-2</v>
      </c>
      <c r="N44">
        <v>4.2437739000000002E-2</v>
      </c>
    </row>
    <row r="45" spans="1:15" x14ac:dyDescent="0.2">
      <c r="A45" t="s">
        <v>18</v>
      </c>
      <c r="B45">
        <v>4.20753054794426</v>
      </c>
      <c r="C45">
        <v>0.102739439425379</v>
      </c>
      <c r="D45">
        <v>2021</v>
      </c>
      <c r="E45">
        <v>14</v>
      </c>
      <c r="F45">
        <v>8</v>
      </c>
      <c r="G45">
        <v>7.6931505896340194E-2</v>
      </c>
      <c r="H45">
        <v>0.16412411295378301</v>
      </c>
      <c r="I45">
        <v>7.6931505896340194E-2</v>
      </c>
      <c r="J45">
        <v>0.16412411295378301</v>
      </c>
      <c r="K45">
        <v>1.7273457532211801E-2</v>
      </c>
      <c r="L45">
        <v>0.332086198396432</v>
      </c>
      <c r="M45">
        <v>-3.9233404E-2</v>
      </c>
      <c r="N45">
        <v>6.2968030000000001E-3</v>
      </c>
    </row>
    <row r="46" spans="1:15" x14ac:dyDescent="0.2">
      <c r="A46" t="s">
        <v>19</v>
      </c>
      <c r="B46">
        <v>4.1265451863378901</v>
      </c>
      <c r="C46">
        <v>6.5480801126397398E-2</v>
      </c>
      <c r="D46">
        <v>2021</v>
      </c>
      <c r="E46">
        <v>14</v>
      </c>
      <c r="F46">
        <v>6</v>
      </c>
      <c r="G46">
        <v>-1.3754181389995099E-2</v>
      </c>
      <c r="H46">
        <v>0.84095643074109006</v>
      </c>
      <c r="I46">
        <v>-1.3754181389995099E-2</v>
      </c>
      <c r="J46">
        <v>0.84095643074109006</v>
      </c>
      <c r="K46">
        <v>3.1618178212614099E-3</v>
      </c>
      <c r="L46">
        <v>0.90949080580973196</v>
      </c>
      <c r="M46">
        <v>-3.1374895E-2</v>
      </c>
      <c r="N46">
        <v>0.120957857</v>
      </c>
    </row>
    <row r="47" spans="1:15" x14ac:dyDescent="0.2">
      <c r="A47" t="s">
        <v>20</v>
      </c>
      <c r="B47">
        <v>2.9874992170299199</v>
      </c>
      <c r="C47">
        <v>0.32133732971815199</v>
      </c>
      <c r="D47">
        <v>2011</v>
      </c>
      <c r="E47">
        <v>14</v>
      </c>
      <c r="F47">
        <v>8</v>
      </c>
      <c r="G47">
        <v>1.6895921724966501E-2</v>
      </c>
      <c r="H47">
        <v>0.48046736395869399</v>
      </c>
      <c r="I47">
        <v>1.6895921724966501E-2</v>
      </c>
      <c r="J47">
        <v>0.48046736395869399</v>
      </c>
      <c r="K47">
        <v>1.42046620255647E-2</v>
      </c>
      <c r="L47">
        <v>0.485482039736991</v>
      </c>
      <c r="M47">
        <v>-3.7169530999999999E-2</v>
      </c>
      <c r="N47" s="1">
        <v>5.8303669988662401E-7</v>
      </c>
      <c r="O47" s="1"/>
    </row>
    <row r="48" spans="1:15" x14ac:dyDescent="0.2">
      <c r="A48" t="s">
        <v>106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  <c r="I48">
        <v>-1.2964514999999999E-2</v>
      </c>
      <c r="J48">
        <v>0.36253043499999998</v>
      </c>
      <c r="K48">
        <v>-6.1437943912702698E-3</v>
      </c>
      <c r="L48">
        <v>0.61013440215667403</v>
      </c>
      <c r="M48">
        <v>-1.2964514999999999E-2</v>
      </c>
      <c r="N48">
        <v>0.36253043499999998</v>
      </c>
    </row>
    <row r="49" spans="1:14" x14ac:dyDescent="0.2">
      <c r="A49" t="s">
        <v>21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  <c r="I49">
        <v>2.3864974000000001E-2</v>
      </c>
      <c r="J49">
        <v>0.11972769599999999</v>
      </c>
      <c r="K49">
        <v>2.5216940669163201E-2</v>
      </c>
      <c r="L49">
        <v>2.6284215068847899E-2</v>
      </c>
      <c r="M49">
        <v>2.3864974000000001E-2</v>
      </c>
      <c r="N49">
        <v>0.11972769599999999</v>
      </c>
    </row>
    <row r="50" spans="1:14" x14ac:dyDescent="0.2">
      <c r="A50" t="s">
        <v>22</v>
      </c>
      <c r="B50">
        <v>1.13886537284583</v>
      </c>
      <c r="C50">
        <v>0.36763575006661497</v>
      </c>
      <c r="D50">
        <v>2020</v>
      </c>
      <c r="E50">
        <v>14</v>
      </c>
      <c r="F50">
        <v>12</v>
      </c>
      <c r="G50">
        <v>2.8716338266763699E-2</v>
      </c>
      <c r="H50">
        <v>0.40223660471372902</v>
      </c>
      <c r="I50">
        <v>2.8716338266763699E-2</v>
      </c>
      <c r="J50">
        <v>0.40223660471372902</v>
      </c>
      <c r="K50">
        <v>1.1015254705321199E-2</v>
      </c>
      <c r="L50">
        <v>0.30737682545817901</v>
      </c>
      <c r="M50">
        <v>-4.9836162000000003E-2</v>
      </c>
      <c r="N50">
        <v>6.7589199999999999E-4</v>
      </c>
    </row>
    <row r="51" spans="1:14" x14ac:dyDescent="0.2">
      <c r="A51" t="s">
        <v>23</v>
      </c>
      <c r="B51">
        <v>1.32310387326729</v>
      </c>
      <c r="C51">
        <v>0.43396823369291798</v>
      </c>
      <c r="D51">
        <v>2019</v>
      </c>
      <c r="E51">
        <v>14</v>
      </c>
      <c r="F51">
        <v>12</v>
      </c>
      <c r="G51">
        <v>2.29229155439475E-2</v>
      </c>
      <c r="H51">
        <v>0.64362025302139403</v>
      </c>
      <c r="I51">
        <v>2.29229155439475E-2</v>
      </c>
      <c r="J51">
        <v>0.64362025302139403</v>
      </c>
      <c r="K51">
        <v>-1.4846282031999201E-2</v>
      </c>
      <c r="L51">
        <v>0.55224926831435095</v>
      </c>
      <c r="M51">
        <v>7.0471031000000003E-2</v>
      </c>
      <c r="N51">
        <v>0.104977206</v>
      </c>
    </row>
    <row r="52" spans="1:14" x14ac:dyDescent="0.2">
      <c r="A52" t="s">
        <v>24</v>
      </c>
      <c r="B52">
        <v>3.4876429000851701</v>
      </c>
      <c r="C52">
        <v>0.39719531100322503</v>
      </c>
      <c r="D52">
        <v>2015</v>
      </c>
      <c r="E52">
        <v>14</v>
      </c>
      <c r="F52">
        <v>16</v>
      </c>
      <c r="G52">
        <v>9.0000380964982404E-2</v>
      </c>
      <c r="H52">
        <v>5.4156361878916596E-4</v>
      </c>
      <c r="I52">
        <v>9.0000380964982404E-2</v>
      </c>
      <c r="J52">
        <v>5.4156361878916596E-4</v>
      </c>
      <c r="K52">
        <v>5.7029926209056503E-2</v>
      </c>
      <c r="L52">
        <v>1.65850619326912E-3</v>
      </c>
      <c r="M52">
        <v>1.266192E-3</v>
      </c>
      <c r="N52">
        <v>0.956048381</v>
      </c>
    </row>
    <row r="53" spans="1:14" x14ac:dyDescent="0.2">
      <c r="A53" t="s">
        <v>25</v>
      </c>
      <c r="B53">
        <v>1.16810995640292</v>
      </c>
      <c r="C53">
        <v>0.415219726461313</v>
      </c>
      <c r="D53">
        <v>2021</v>
      </c>
      <c r="E53">
        <v>14</v>
      </c>
      <c r="F53">
        <v>10</v>
      </c>
      <c r="G53">
        <v>1.3351742764772301E-2</v>
      </c>
      <c r="H53">
        <v>0.84287389351145903</v>
      </c>
      <c r="I53">
        <v>1.3351742764772301E-2</v>
      </c>
      <c r="J53">
        <v>0.84287389351145903</v>
      </c>
      <c r="K53">
        <v>-1.4639313744635601E-2</v>
      </c>
      <c r="L53">
        <v>0.51108895397653598</v>
      </c>
      <c r="M53">
        <v>-4.6931890000000004E-3</v>
      </c>
      <c r="N53">
        <v>0.874996789</v>
      </c>
    </row>
    <row r="54" spans="1:14" x14ac:dyDescent="0.2">
      <c r="A54" t="s">
        <v>107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I54">
        <v>1.4048209000000001E-2</v>
      </c>
      <c r="J54">
        <v>0.43248214099999999</v>
      </c>
      <c r="K54">
        <v>4.10765014642943E-4</v>
      </c>
      <c r="L54">
        <v>0.97292543049705704</v>
      </c>
      <c r="M54">
        <v>1.4048209000000001E-2</v>
      </c>
      <c r="N54">
        <v>0.43248214099999999</v>
      </c>
    </row>
    <row r="55" spans="1:14" x14ac:dyDescent="0.2">
      <c r="A55" t="s">
        <v>108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I55">
        <v>3.9306674E-2</v>
      </c>
      <c r="J55">
        <v>4.534667E-3</v>
      </c>
      <c r="K55">
        <v>4.1081893233936101E-2</v>
      </c>
      <c r="L55" s="1">
        <v>2.8406808815773199E-5</v>
      </c>
      <c r="M55">
        <v>3.9306674E-2</v>
      </c>
      <c r="N55">
        <v>4.534667E-3</v>
      </c>
    </row>
    <row r="56" spans="1:14" x14ac:dyDescent="0.2">
      <c r="A56" t="s">
        <v>109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I56">
        <v>3.5689660999999998E-2</v>
      </c>
      <c r="J56">
        <v>0.167611013</v>
      </c>
      <c r="K56">
        <v>6.3393171516834702E-3</v>
      </c>
      <c r="L56">
        <v>0.70906640545587796</v>
      </c>
      <c r="M56">
        <v>3.5689660999999998E-2</v>
      </c>
      <c r="N56">
        <v>0.167611013</v>
      </c>
    </row>
    <row r="57" spans="1:14" x14ac:dyDescent="0.2">
      <c r="A57" t="s">
        <v>110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  <c r="I57">
        <v>3.6937462999999997E-2</v>
      </c>
      <c r="J57">
        <v>2.8116135E-2</v>
      </c>
      <c r="K57">
        <v>3.6649091165670201E-2</v>
      </c>
      <c r="L57">
        <v>1.5790850100408E-2</v>
      </c>
      <c r="M57">
        <v>3.6937462999999997E-2</v>
      </c>
      <c r="N57">
        <v>2.8116135E-2</v>
      </c>
    </row>
    <row r="58" spans="1:14" x14ac:dyDescent="0.2">
      <c r="A58" t="s">
        <v>111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I58">
        <v>-8.2103809999999992E-3</v>
      </c>
      <c r="J58">
        <v>0.61533789000000005</v>
      </c>
      <c r="K58">
        <v>-1.97903647992419E-2</v>
      </c>
      <c r="L58">
        <v>1.3466526418298101E-2</v>
      </c>
      <c r="M58">
        <v>-8.2103809999999992E-3</v>
      </c>
      <c r="N58">
        <v>0.61533789000000005</v>
      </c>
    </row>
    <row r="59" spans="1:14" x14ac:dyDescent="0.2">
      <c r="A59" t="s">
        <v>26</v>
      </c>
      <c r="B59">
        <v>3.0314393601171798</v>
      </c>
      <c r="C59">
        <v>0.17989932199641201</v>
      </c>
      <c r="D59">
        <v>2009</v>
      </c>
      <c r="E59">
        <v>14</v>
      </c>
      <c r="F59">
        <v>10</v>
      </c>
      <c r="G59">
        <v>6.3884628130327997E-2</v>
      </c>
      <c r="H59">
        <v>1.5705344575999E-4</v>
      </c>
      <c r="I59">
        <v>6.3884628130327997E-2</v>
      </c>
      <c r="J59">
        <v>1.5705344575999E-4</v>
      </c>
      <c r="K59">
        <v>3.1340133798776301E-2</v>
      </c>
      <c r="L59">
        <v>6.1178774493398302E-4</v>
      </c>
      <c r="M59">
        <v>9.4994160000000001E-3</v>
      </c>
      <c r="N59">
        <v>0.63555263200000001</v>
      </c>
    </row>
    <row r="60" spans="1:14" x14ac:dyDescent="0.2">
      <c r="A60" t="s">
        <v>112</v>
      </c>
      <c r="B60" t="s">
        <v>8</v>
      </c>
      <c r="C60" t="s">
        <v>8</v>
      </c>
      <c r="D60" t="s">
        <v>8</v>
      </c>
      <c r="E60" t="s">
        <v>8</v>
      </c>
      <c r="F60" t="s">
        <v>8</v>
      </c>
      <c r="I60">
        <v>2.9913302999999999E-2</v>
      </c>
      <c r="J60">
        <v>4.5055690000000001E-3</v>
      </c>
      <c r="K60">
        <v>7.6622413071815599E-3</v>
      </c>
      <c r="L60">
        <v>0.12613082699889999</v>
      </c>
      <c r="M60">
        <v>2.9913302999999999E-2</v>
      </c>
      <c r="N60">
        <v>4.5055690000000001E-3</v>
      </c>
    </row>
    <row r="61" spans="1:14" x14ac:dyDescent="0.2">
      <c r="A61" t="s">
        <v>27</v>
      </c>
      <c r="B61">
        <v>4.4047809607845396</v>
      </c>
      <c r="C61">
        <v>0.10279737696138599</v>
      </c>
      <c r="D61">
        <v>2021</v>
      </c>
      <c r="E61">
        <v>14</v>
      </c>
      <c r="F61">
        <v>11</v>
      </c>
      <c r="G61">
        <v>5.8104516674382399E-2</v>
      </c>
      <c r="H61" s="1">
        <v>1.9106272152989599E-8</v>
      </c>
      <c r="I61">
        <v>5.8104516674382399E-2</v>
      </c>
      <c r="J61" s="1">
        <v>1.9106272152989599E-8</v>
      </c>
      <c r="K61">
        <v>3.9261661812911103E-2</v>
      </c>
      <c r="L61" s="1">
        <v>2.2654769256805301E-8</v>
      </c>
      <c r="M61">
        <v>-2.5290923999999999E-2</v>
      </c>
      <c r="N61">
        <v>1.7580680000000001E-2</v>
      </c>
    </row>
    <row r="62" spans="1:14" x14ac:dyDescent="0.2">
      <c r="A62" t="s">
        <v>113</v>
      </c>
      <c r="B62" t="s">
        <v>8</v>
      </c>
      <c r="C62" t="s">
        <v>8</v>
      </c>
      <c r="D62" t="s">
        <v>8</v>
      </c>
      <c r="E62" t="s">
        <v>8</v>
      </c>
      <c r="F62" t="s">
        <v>8</v>
      </c>
      <c r="I62">
        <v>5.3509202999999998E-2</v>
      </c>
      <c r="J62">
        <v>1.671465E-3</v>
      </c>
      <c r="K62">
        <v>9.5206290271869099E-3</v>
      </c>
      <c r="L62">
        <v>0.39331288213594301</v>
      </c>
      <c r="M62">
        <v>5.3509202999999998E-2</v>
      </c>
      <c r="N62">
        <v>1.671465E-3</v>
      </c>
    </row>
    <row r="63" spans="1:14" x14ac:dyDescent="0.2">
      <c r="A63" t="s">
        <v>114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  <c r="I63">
        <v>6.7420409999999998E-3</v>
      </c>
      <c r="J63">
        <v>0.74497819899999995</v>
      </c>
      <c r="K63">
        <v>2.9427610191196302E-2</v>
      </c>
      <c r="L63">
        <v>4.5182375795426603E-2</v>
      </c>
      <c r="M63">
        <v>6.7420409999999998E-3</v>
      </c>
      <c r="N63">
        <v>0.74497819899999995</v>
      </c>
    </row>
    <row r="64" spans="1:14" x14ac:dyDescent="0.2">
      <c r="A64" t="s">
        <v>115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I64">
        <v>1.5433644E-2</v>
      </c>
      <c r="J64">
        <v>0.25035771800000001</v>
      </c>
      <c r="K64">
        <v>1.8199919270726901E-2</v>
      </c>
      <c r="L64">
        <v>6.5626101343415205E-2</v>
      </c>
      <c r="M64">
        <v>1.5433644E-2</v>
      </c>
      <c r="N64">
        <v>0.25035771800000001</v>
      </c>
    </row>
    <row r="65" spans="1:15" x14ac:dyDescent="0.2">
      <c r="A65" t="s">
        <v>116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  <c r="I65">
        <v>1.460963E-3</v>
      </c>
      <c r="J65">
        <v>0.86184291899999999</v>
      </c>
      <c r="K65">
        <v>1.41320796652495E-3</v>
      </c>
      <c r="L65">
        <v>0.81188706945653799</v>
      </c>
      <c r="M65">
        <v>1.460963E-3</v>
      </c>
      <c r="N65">
        <v>0.86184291899999999</v>
      </c>
    </row>
    <row r="66" spans="1:15" x14ac:dyDescent="0.2">
      <c r="A66" t="s">
        <v>117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  <c r="I66">
        <v>1.0406230000000001E-2</v>
      </c>
      <c r="J66">
        <v>0.15775841600000001</v>
      </c>
      <c r="K66">
        <v>2.2043282040564102E-2</v>
      </c>
      <c r="L66" s="1">
        <v>7.2763400602545E-5</v>
      </c>
      <c r="M66">
        <v>1.0406230000000001E-2</v>
      </c>
      <c r="N66">
        <v>0.15775841600000001</v>
      </c>
    </row>
    <row r="67" spans="1:15" x14ac:dyDescent="0.2">
      <c r="A67" t="s">
        <v>118</v>
      </c>
      <c r="B67" t="s">
        <v>8</v>
      </c>
      <c r="C67" t="s">
        <v>8</v>
      </c>
      <c r="D67" t="s">
        <v>8</v>
      </c>
      <c r="E67" t="s">
        <v>8</v>
      </c>
      <c r="F67" t="s">
        <v>8</v>
      </c>
      <c r="I67">
        <v>-2.0042401000000001E-2</v>
      </c>
      <c r="J67">
        <v>6.8115830000000004E-3</v>
      </c>
      <c r="K67">
        <v>-1.0175343702905199E-2</v>
      </c>
      <c r="L67">
        <v>0.101565595191884</v>
      </c>
      <c r="M67">
        <v>-2.0042401000000001E-2</v>
      </c>
      <c r="N67">
        <v>6.8115830000000004E-3</v>
      </c>
    </row>
    <row r="68" spans="1:15" x14ac:dyDescent="0.2">
      <c r="A68" t="s">
        <v>119</v>
      </c>
      <c r="B68" t="s">
        <v>8</v>
      </c>
      <c r="C68" t="s">
        <v>8</v>
      </c>
      <c r="D68" t="s">
        <v>8</v>
      </c>
      <c r="E68" t="s">
        <v>8</v>
      </c>
      <c r="F68" t="s">
        <v>8</v>
      </c>
      <c r="I68">
        <v>-1.2119978999999999E-2</v>
      </c>
      <c r="J68">
        <v>1.4242545000000001E-2</v>
      </c>
      <c r="K68">
        <v>1.9272610040733201E-2</v>
      </c>
      <c r="L68" s="1">
        <v>1.1908074856817701E-6</v>
      </c>
      <c r="M68">
        <v>-1.2119978999999999E-2</v>
      </c>
      <c r="N68">
        <v>1.4242545000000001E-2</v>
      </c>
    </row>
    <row r="69" spans="1:15" x14ac:dyDescent="0.2">
      <c r="A69" t="s">
        <v>28</v>
      </c>
      <c r="B69">
        <v>1.7517566800265201</v>
      </c>
      <c r="C69">
        <v>0.45057437672843798</v>
      </c>
      <c r="D69">
        <v>2005</v>
      </c>
      <c r="E69">
        <v>14</v>
      </c>
      <c r="F69">
        <v>10</v>
      </c>
      <c r="G69">
        <v>6.0525690042820502E-3</v>
      </c>
      <c r="H69">
        <v>0.737884214767625</v>
      </c>
      <c r="I69">
        <v>6.0525690042820502E-3</v>
      </c>
      <c r="J69">
        <v>0.737884214767625</v>
      </c>
      <c r="K69">
        <v>4.6651785002488396E-3</v>
      </c>
      <c r="L69">
        <v>0.64581785711889705</v>
      </c>
      <c r="M69">
        <v>-6.0410344999999997E-2</v>
      </c>
      <c r="N69" s="1">
        <v>2.6123753091047999E-5</v>
      </c>
      <c r="O69" s="1"/>
    </row>
    <row r="70" spans="1:15" x14ac:dyDescent="0.2">
      <c r="A70" t="s">
        <v>120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I70">
        <v>1.5142348E-2</v>
      </c>
      <c r="J70">
        <v>0.23849516000000001</v>
      </c>
      <c r="K70">
        <v>2.55615335610701E-3</v>
      </c>
      <c r="L70">
        <v>0.81197244564257598</v>
      </c>
      <c r="M70">
        <v>1.5142348E-2</v>
      </c>
      <c r="N70">
        <v>0.23849516000000001</v>
      </c>
    </row>
    <row r="71" spans="1:15" x14ac:dyDescent="0.2">
      <c r="A71" t="s">
        <v>122</v>
      </c>
      <c r="B71" t="s">
        <v>8</v>
      </c>
      <c r="C71" t="s">
        <v>8</v>
      </c>
      <c r="D71" t="s">
        <v>8</v>
      </c>
      <c r="E71" t="s">
        <v>8</v>
      </c>
      <c r="F71" t="s">
        <v>8</v>
      </c>
      <c r="I71">
        <v>-2.5344873E-2</v>
      </c>
      <c r="J71">
        <v>0.23032546200000001</v>
      </c>
      <c r="K71">
        <v>-1.11041245566104E-2</v>
      </c>
      <c r="L71">
        <v>0.50735480567256597</v>
      </c>
      <c r="M71">
        <v>-2.5344873E-2</v>
      </c>
      <c r="N71">
        <v>0.23032546200000001</v>
      </c>
    </row>
    <row r="72" spans="1:15" x14ac:dyDescent="0.2">
      <c r="A72" t="s">
        <v>29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  <c r="I72">
        <v>5.6781623000000003E-2</v>
      </c>
      <c r="J72">
        <v>2.8263910000000001E-3</v>
      </c>
      <c r="K72">
        <v>5.0251427361933498E-2</v>
      </c>
      <c r="L72">
        <v>1.79948876544999E-2</v>
      </c>
      <c r="M72">
        <v>5.6781623000000003E-2</v>
      </c>
      <c r="N72">
        <v>2.8263910000000001E-3</v>
      </c>
    </row>
    <row r="73" spans="1:15" x14ac:dyDescent="0.2">
      <c r="A73" t="s">
        <v>30</v>
      </c>
      <c r="B73">
        <v>1.9794443778683299</v>
      </c>
      <c r="C73">
        <v>0.33468995677975999</v>
      </c>
      <c r="D73">
        <v>2005</v>
      </c>
      <c r="E73">
        <v>14</v>
      </c>
      <c r="F73">
        <v>16</v>
      </c>
      <c r="G73">
        <v>-5.4011653310640003E-3</v>
      </c>
      <c r="H73">
        <v>0.69107308209660601</v>
      </c>
      <c r="I73">
        <v>-5.4011653310640003E-3</v>
      </c>
      <c r="J73">
        <v>0.69107308209660601</v>
      </c>
      <c r="K73">
        <v>-5.9596892524018596E-3</v>
      </c>
      <c r="L73">
        <v>0.51588902629560496</v>
      </c>
      <c r="M73">
        <v>-2.5972740000000001E-2</v>
      </c>
      <c r="N73">
        <v>2.6819012E-2</v>
      </c>
    </row>
    <row r="74" spans="1:15" x14ac:dyDescent="0.2">
      <c r="A74" t="s">
        <v>123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I74">
        <v>-3.8568974999999998E-2</v>
      </c>
      <c r="J74">
        <v>1.053451E-3</v>
      </c>
      <c r="K74">
        <v>2.3312898648467199E-2</v>
      </c>
      <c r="L74">
        <v>8.3129584792025493E-2</v>
      </c>
      <c r="M74">
        <v>-3.8568974999999998E-2</v>
      </c>
      <c r="N74">
        <v>1.053451E-3</v>
      </c>
    </row>
    <row r="75" spans="1:15" x14ac:dyDescent="0.2">
      <c r="A75" t="s">
        <v>31</v>
      </c>
      <c r="B75">
        <v>2.7727125379680202</v>
      </c>
      <c r="C75">
        <v>0.14481890303223399</v>
      </c>
      <c r="D75">
        <v>2017</v>
      </c>
      <c r="E75">
        <v>14</v>
      </c>
      <c r="F75">
        <v>11</v>
      </c>
      <c r="G75">
        <v>3.4670172662481603E-2</v>
      </c>
      <c r="H75">
        <v>6.5204475751463797E-3</v>
      </c>
      <c r="I75">
        <v>3.4670172662481603E-2</v>
      </c>
      <c r="J75">
        <v>6.5204475751463797E-3</v>
      </c>
      <c r="K75">
        <v>1.7662354487951601E-2</v>
      </c>
      <c r="L75">
        <v>2.0433592793047101E-2</v>
      </c>
      <c r="M75">
        <v>-3.5008338999999999E-2</v>
      </c>
      <c r="N75">
        <v>5.9464089999999997E-3</v>
      </c>
    </row>
    <row r="76" spans="1:15" x14ac:dyDescent="0.2">
      <c r="A76" t="s">
        <v>124</v>
      </c>
      <c r="B76" t="s">
        <v>8</v>
      </c>
      <c r="C76" t="s">
        <v>8</v>
      </c>
      <c r="D76" t="s">
        <v>8</v>
      </c>
      <c r="E76" t="s">
        <v>8</v>
      </c>
      <c r="F76" t="s">
        <v>8</v>
      </c>
      <c r="I76">
        <v>-2.8395118E-2</v>
      </c>
      <c r="J76">
        <v>0.12574354900000001</v>
      </c>
      <c r="K76">
        <v>3.4323741884659401E-3</v>
      </c>
      <c r="L76">
        <v>0.73928992069175703</v>
      </c>
      <c r="M76">
        <v>-2.8395118E-2</v>
      </c>
      <c r="N76">
        <v>0.12574354900000001</v>
      </c>
    </row>
    <row r="77" spans="1:15" x14ac:dyDescent="0.2">
      <c r="A77" t="s">
        <v>32</v>
      </c>
      <c r="B77" t="s">
        <v>8</v>
      </c>
      <c r="C77" t="s">
        <v>8</v>
      </c>
      <c r="D77" t="s">
        <v>8</v>
      </c>
      <c r="E77" t="s">
        <v>8</v>
      </c>
      <c r="F77" t="s">
        <v>8</v>
      </c>
      <c r="I77">
        <v>-6.3265660000000001E-2</v>
      </c>
      <c r="J77" s="1">
        <v>7.3641887346476496E-6</v>
      </c>
      <c r="K77">
        <v>-2.6335568534100001E-2</v>
      </c>
      <c r="L77">
        <v>0.28865637852103698</v>
      </c>
      <c r="M77">
        <v>-6.3265660000000001E-2</v>
      </c>
      <c r="N77" s="1">
        <v>7.3641887346476496E-6</v>
      </c>
      <c r="O77" s="1"/>
    </row>
    <row r="78" spans="1:15" x14ac:dyDescent="0.2">
      <c r="A78" t="s">
        <v>125</v>
      </c>
      <c r="B78" t="s">
        <v>8</v>
      </c>
      <c r="C78" t="s">
        <v>8</v>
      </c>
      <c r="D78" t="s">
        <v>8</v>
      </c>
      <c r="E78" t="s">
        <v>8</v>
      </c>
      <c r="F78" t="s">
        <v>8</v>
      </c>
      <c r="I78">
        <v>1.3844949E-2</v>
      </c>
      <c r="J78">
        <v>0.65161059300000002</v>
      </c>
      <c r="K78">
        <v>-1.0104629710979401E-2</v>
      </c>
      <c r="L78">
        <v>0.488393426060245</v>
      </c>
      <c r="M78">
        <v>1.3844949E-2</v>
      </c>
      <c r="N78">
        <v>0.65161059300000002</v>
      </c>
    </row>
    <row r="79" spans="1:15" x14ac:dyDescent="0.2">
      <c r="A79" t="s">
        <v>126</v>
      </c>
      <c r="B79" t="s">
        <v>8</v>
      </c>
      <c r="C79" t="s">
        <v>8</v>
      </c>
      <c r="D79" t="s">
        <v>8</v>
      </c>
      <c r="E79" t="s">
        <v>8</v>
      </c>
      <c r="F79" t="s">
        <v>8</v>
      </c>
      <c r="I79">
        <v>-4.1044239999999997E-3</v>
      </c>
      <c r="J79">
        <v>0.66808319199999999</v>
      </c>
      <c r="K79">
        <v>1.33126252918971E-2</v>
      </c>
      <c r="L79">
        <v>4.0737877748186303E-2</v>
      </c>
      <c r="M79">
        <v>-4.1044239999999997E-3</v>
      </c>
      <c r="N79">
        <v>0.66808319199999999</v>
      </c>
    </row>
    <row r="80" spans="1:15" x14ac:dyDescent="0.2">
      <c r="A80" t="s">
        <v>127</v>
      </c>
      <c r="B80" t="s">
        <v>8</v>
      </c>
      <c r="C80" t="s">
        <v>8</v>
      </c>
      <c r="D80" t="s">
        <v>8</v>
      </c>
      <c r="E80" t="s">
        <v>8</v>
      </c>
      <c r="F80" t="s">
        <v>8</v>
      </c>
      <c r="I80">
        <v>9.7701679999999992E-3</v>
      </c>
      <c r="J80">
        <v>0.17501115</v>
      </c>
      <c r="K80">
        <v>1.7636629659249298E-2</v>
      </c>
      <c r="L80">
        <v>5.8774078757679795E-4</v>
      </c>
      <c r="M80">
        <v>9.7701679999999992E-3</v>
      </c>
      <c r="N80">
        <v>0.17501115</v>
      </c>
    </row>
    <row r="81" spans="1:15" x14ac:dyDescent="0.2">
      <c r="A81" t="s">
        <v>128</v>
      </c>
      <c r="B81" t="s">
        <v>8</v>
      </c>
      <c r="C81" t="s">
        <v>8</v>
      </c>
      <c r="D81" t="s">
        <v>8</v>
      </c>
      <c r="E81" t="s">
        <v>8</v>
      </c>
      <c r="F81" t="s">
        <v>8</v>
      </c>
      <c r="I81">
        <v>2.9572556E-2</v>
      </c>
      <c r="J81">
        <v>0.124433865</v>
      </c>
      <c r="K81">
        <v>4.9387566889358397E-3</v>
      </c>
      <c r="L81">
        <v>0.66881801765844195</v>
      </c>
      <c r="M81">
        <v>2.9572556E-2</v>
      </c>
      <c r="N81">
        <v>0.124433865</v>
      </c>
    </row>
    <row r="82" spans="1:15" x14ac:dyDescent="0.2">
      <c r="A82" t="s">
        <v>129</v>
      </c>
      <c r="B82" t="s">
        <v>8</v>
      </c>
      <c r="C82" t="s">
        <v>8</v>
      </c>
      <c r="D82" t="s">
        <v>8</v>
      </c>
      <c r="E82" t="s">
        <v>8</v>
      </c>
      <c r="F82" t="s">
        <v>8</v>
      </c>
      <c r="I82">
        <v>1.303495E-3</v>
      </c>
      <c r="J82">
        <v>0.92236706499999999</v>
      </c>
      <c r="K82">
        <v>1.7952696702841699E-2</v>
      </c>
      <c r="L82">
        <v>3.4613598624224098E-2</v>
      </c>
      <c r="M82">
        <v>1.303495E-3</v>
      </c>
      <c r="N82">
        <v>0.92236706499999999</v>
      </c>
    </row>
    <row r="83" spans="1:15" x14ac:dyDescent="0.2">
      <c r="A83" t="s">
        <v>130</v>
      </c>
      <c r="B83" t="s">
        <v>8</v>
      </c>
      <c r="C83" t="s">
        <v>8</v>
      </c>
      <c r="D83" t="s">
        <v>8</v>
      </c>
      <c r="E83" t="s">
        <v>8</v>
      </c>
      <c r="F83" t="s">
        <v>8</v>
      </c>
      <c r="I83">
        <v>2.4086357999999999E-2</v>
      </c>
      <c r="J83">
        <v>9.1008145999999998E-2</v>
      </c>
      <c r="K83">
        <v>7.8396062203231493E-3</v>
      </c>
      <c r="L83">
        <v>0.33291582455291602</v>
      </c>
      <c r="M83">
        <v>2.4086357999999999E-2</v>
      </c>
      <c r="N83">
        <v>9.1008145999999998E-2</v>
      </c>
    </row>
    <row r="84" spans="1:15" x14ac:dyDescent="0.2">
      <c r="A84" t="s">
        <v>131</v>
      </c>
      <c r="B84" t="s">
        <v>8</v>
      </c>
      <c r="C84" t="s">
        <v>8</v>
      </c>
      <c r="D84" t="s">
        <v>8</v>
      </c>
      <c r="E84" t="s">
        <v>8</v>
      </c>
      <c r="F84" t="s">
        <v>8</v>
      </c>
      <c r="I84">
        <v>1.9391110999999999E-2</v>
      </c>
      <c r="J84">
        <v>0.101922069</v>
      </c>
      <c r="K84">
        <v>1.6543982536588699E-2</v>
      </c>
      <c r="L84">
        <v>3.6849504449044002E-2</v>
      </c>
      <c r="M84">
        <v>1.9391110999999999E-2</v>
      </c>
      <c r="N84">
        <v>0.101922069</v>
      </c>
    </row>
    <row r="85" spans="1:15" x14ac:dyDescent="0.2">
      <c r="A85" t="s">
        <v>132</v>
      </c>
      <c r="B85" t="s">
        <v>8</v>
      </c>
      <c r="C85" t="s">
        <v>8</v>
      </c>
      <c r="D85" t="s">
        <v>8</v>
      </c>
      <c r="E85" t="s">
        <v>8</v>
      </c>
      <c r="F85" t="s">
        <v>8</v>
      </c>
      <c r="I85">
        <v>1.107463E-2</v>
      </c>
      <c r="J85">
        <v>0.32890710099999998</v>
      </c>
      <c r="K85">
        <v>2.2564858105249701E-2</v>
      </c>
      <c r="L85">
        <v>1.1742270962456201E-2</v>
      </c>
      <c r="M85">
        <v>1.107463E-2</v>
      </c>
      <c r="N85">
        <v>0.32890710099999998</v>
      </c>
    </row>
    <row r="86" spans="1:15" x14ac:dyDescent="0.2">
      <c r="A86" t="s">
        <v>133</v>
      </c>
      <c r="B86" t="s">
        <v>8</v>
      </c>
      <c r="C86" t="s">
        <v>8</v>
      </c>
      <c r="D86" t="s">
        <v>8</v>
      </c>
      <c r="E86" t="s">
        <v>8</v>
      </c>
      <c r="F86" t="s">
        <v>8</v>
      </c>
      <c r="I86">
        <v>-0.12611281999999999</v>
      </c>
      <c r="J86">
        <v>1.1317619999999999E-3</v>
      </c>
      <c r="K86">
        <v>-4.50074993709772E-2</v>
      </c>
      <c r="L86">
        <v>0.225580610149231</v>
      </c>
      <c r="M86">
        <v>-0.12611281999999999</v>
      </c>
      <c r="N86">
        <v>1.1317619999999999E-3</v>
      </c>
    </row>
    <row r="87" spans="1:15" x14ac:dyDescent="0.2">
      <c r="A87" t="s">
        <v>134</v>
      </c>
      <c r="B87" t="s">
        <v>8</v>
      </c>
      <c r="C87" t="s">
        <v>8</v>
      </c>
      <c r="D87" t="s">
        <v>8</v>
      </c>
      <c r="E87" t="s">
        <v>8</v>
      </c>
      <c r="F87" t="s">
        <v>8</v>
      </c>
      <c r="I87">
        <v>8.3299399999999996E-2</v>
      </c>
      <c r="J87" s="1">
        <v>3.00784330705471E-9</v>
      </c>
      <c r="K87">
        <v>5.4249143741425497E-2</v>
      </c>
      <c r="L87" s="1">
        <v>1.17397643018039E-7</v>
      </c>
      <c r="M87">
        <v>8.3299399999999996E-2</v>
      </c>
      <c r="N87" s="1">
        <v>3.00784330705471E-9</v>
      </c>
      <c r="O87" s="1"/>
    </row>
    <row r="88" spans="1:15" x14ac:dyDescent="0.2">
      <c r="A88" t="s">
        <v>135</v>
      </c>
      <c r="B88" t="s">
        <v>8</v>
      </c>
      <c r="C88" t="s">
        <v>8</v>
      </c>
      <c r="D88" t="s">
        <v>8</v>
      </c>
      <c r="E88" t="s">
        <v>8</v>
      </c>
      <c r="F88" t="s">
        <v>8</v>
      </c>
      <c r="I88">
        <v>5.3044991E-2</v>
      </c>
      <c r="J88" s="1">
        <v>4.3196648707638799E-5</v>
      </c>
      <c r="K88">
        <v>3.2960261594006397E-2</v>
      </c>
      <c r="L88" s="1">
        <v>7.5632417065862E-5</v>
      </c>
      <c r="M88">
        <v>5.3044991E-2</v>
      </c>
      <c r="N88" s="1">
        <v>4.3196648707638799E-5</v>
      </c>
      <c r="O88" s="1"/>
    </row>
    <row r="89" spans="1:15" x14ac:dyDescent="0.2">
      <c r="A89" t="s">
        <v>33</v>
      </c>
      <c r="B89">
        <v>5.8039360528041097</v>
      </c>
      <c r="C89">
        <v>4.0934687479665E-2</v>
      </c>
      <c r="D89">
        <v>2010</v>
      </c>
      <c r="E89">
        <v>14</v>
      </c>
      <c r="F89">
        <v>26</v>
      </c>
      <c r="G89">
        <v>0.16592969934156501</v>
      </c>
      <c r="H89">
        <v>1.5229186345868699E-4</v>
      </c>
      <c r="I89">
        <v>0.16592969934156501</v>
      </c>
      <c r="J89">
        <v>1.5229186345868699E-4</v>
      </c>
      <c r="K89">
        <v>6.1718679746380199E-2</v>
      </c>
      <c r="L89" s="1">
        <v>5.3505015499206404E-6</v>
      </c>
      <c r="M89">
        <v>9.2777886000000004E-2</v>
      </c>
      <c r="N89" s="1">
        <v>3.62254326804056E-7</v>
      </c>
      <c r="O89" s="1"/>
    </row>
    <row r="90" spans="1:15" x14ac:dyDescent="0.2">
      <c r="A90" t="s">
        <v>136</v>
      </c>
      <c r="B90" t="s">
        <v>8</v>
      </c>
      <c r="C90" t="s">
        <v>8</v>
      </c>
      <c r="D90" t="s">
        <v>8</v>
      </c>
      <c r="E90" t="s">
        <v>8</v>
      </c>
      <c r="F90" t="s">
        <v>8</v>
      </c>
      <c r="I90">
        <v>6.7407399999999998E-4</v>
      </c>
      <c r="J90">
        <v>0.948395608</v>
      </c>
      <c r="K90">
        <v>2.6399509039811E-2</v>
      </c>
      <c r="L90">
        <v>6.8066555433769695E-4</v>
      </c>
      <c r="M90">
        <v>6.7407399999999998E-4</v>
      </c>
      <c r="N90">
        <v>0.948395608</v>
      </c>
    </row>
    <row r="91" spans="1:15" x14ac:dyDescent="0.2">
      <c r="A91" t="s">
        <v>137</v>
      </c>
      <c r="B91" t="s">
        <v>8</v>
      </c>
      <c r="C91" t="s">
        <v>8</v>
      </c>
      <c r="D91" t="s">
        <v>8</v>
      </c>
      <c r="E91" t="s">
        <v>8</v>
      </c>
      <c r="F91" t="s">
        <v>8</v>
      </c>
      <c r="I91">
        <v>2.4550134000000001E-2</v>
      </c>
      <c r="J91">
        <v>2.2928111000000001E-2</v>
      </c>
      <c r="K91">
        <v>1.9617102934498799E-2</v>
      </c>
      <c r="L91">
        <v>1.25953614875165E-2</v>
      </c>
      <c r="M91">
        <v>2.4550134000000001E-2</v>
      </c>
      <c r="N91">
        <v>2.2928111000000001E-2</v>
      </c>
    </row>
    <row r="92" spans="1:15" x14ac:dyDescent="0.2">
      <c r="A92" t="s">
        <v>138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I92">
        <v>5.9860110000000003E-3</v>
      </c>
      <c r="J92">
        <v>0.73589547300000002</v>
      </c>
      <c r="K92">
        <v>6.9733299213721803E-3</v>
      </c>
      <c r="L92">
        <v>0.59196944308454802</v>
      </c>
      <c r="M92">
        <v>5.9860110000000003E-3</v>
      </c>
      <c r="N92">
        <v>0.73589547300000002</v>
      </c>
    </row>
    <row r="93" spans="1:15" x14ac:dyDescent="0.2">
      <c r="A93" t="s">
        <v>139</v>
      </c>
      <c r="B93" t="s">
        <v>8</v>
      </c>
      <c r="C93" t="s">
        <v>8</v>
      </c>
      <c r="D93" t="s">
        <v>8</v>
      </c>
      <c r="E93" t="s">
        <v>8</v>
      </c>
      <c r="F93" t="s">
        <v>8</v>
      </c>
      <c r="I93">
        <v>-1.7635544999999999E-2</v>
      </c>
      <c r="J93">
        <v>3.5829294999999997E-2</v>
      </c>
      <c r="K93">
        <v>-1.1936915122475999E-2</v>
      </c>
      <c r="L93">
        <v>2.5684366499645901E-2</v>
      </c>
      <c r="M93">
        <v>-1.7635544999999999E-2</v>
      </c>
      <c r="N93">
        <v>3.5829294999999997E-2</v>
      </c>
    </row>
    <row r="94" spans="1:15" x14ac:dyDescent="0.2">
      <c r="A94" t="s">
        <v>140</v>
      </c>
      <c r="B94" t="s">
        <v>8</v>
      </c>
      <c r="C94" t="s">
        <v>8</v>
      </c>
      <c r="D94" t="s">
        <v>8</v>
      </c>
      <c r="E94" t="s">
        <v>8</v>
      </c>
      <c r="F94" t="s">
        <v>8</v>
      </c>
      <c r="I94">
        <v>4.0100603999999998E-2</v>
      </c>
      <c r="J94">
        <v>0.165357013</v>
      </c>
      <c r="K94">
        <v>3.7675253562540797E-2</v>
      </c>
      <c r="L94">
        <v>1.8415661272845E-2</v>
      </c>
      <c r="M94">
        <v>4.0100603999999998E-2</v>
      </c>
      <c r="N94">
        <v>0.165357013</v>
      </c>
    </row>
    <row r="95" spans="1:15" x14ac:dyDescent="0.2">
      <c r="A95" t="s">
        <v>141</v>
      </c>
      <c r="B95" t="s">
        <v>8</v>
      </c>
      <c r="C95" t="s">
        <v>8</v>
      </c>
      <c r="D95" t="s">
        <v>8</v>
      </c>
      <c r="E95" t="s">
        <v>8</v>
      </c>
      <c r="F95" t="s">
        <v>8</v>
      </c>
      <c r="I95">
        <v>0.120044941</v>
      </c>
      <c r="J95">
        <v>7.1147699999999996E-4</v>
      </c>
      <c r="K95">
        <v>6.9660521447596005E-2</v>
      </c>
      <c r="L95">
        <v>2.51102379143218E-3</v>
      </c>
      <c r="M95">
        <v>0.120044941</v>
      </c>
      <c r="N95">
        <v>7.1147699999999996E-4</v>
      </c>
    </row>
    <row r="96" spans="1:15" x14ac:dyDescent="0.2">
      <c r="A96" t="s">
        <v>142</v>
      </c>
      <c r="B96" t="s">
        <v>8</v>
      </c>
      <c r="C96" t="s">
        <v>8</v>
      </c>
      <c r="D96" t="s">
        <v>8</v>
      </c>
      <c r="E96" t="s">
        <v>8</v>
      </c>
      <c r="F96" t="s">
        <v>8</v>
      </c>
      <c r="I96">
        <v>-1.7104668999999999E-2</v>
      </c>
      <c r="J96">
        <v>0.62318587700000005</v>
      </c>
      <c r="K96">
        <v>-3.94422388031569E-2</v>
      </c>
      <c r="L96">
        <v>3.4671621510415501E-2</v>
      </c>
      <c r="M96">
        <v>-1.7104668999999999E-2</v>
      </c>
      <c r="N96">
        <v>0.62318587700000005</v>
      </c>
    </row>
    <row r="97" spans="1:15" x14ac:dyDescent="0.2">
      <c r="A97" t="s">
        <v>34</v>
      </c>
      <c r="B97">
        <v>1.1351987696360499</v>
      </c>
      <c r="C97">
        <v>0.612043100854744</v>
      </c>
      <c r="D97">
        <v>2019</v>
      </c>
      <c r="E97">
        <v>14</v>
      </c>
      <c r="F97">
        <v>4</v>
      </c>
      <c r="G97">
        <v>1.5842801839198801E-2</v>
      </c>
      <c r="H97">
        <v>0.32555164939088499</v>
      </c>
      <c r="I97">
        <v>1.5842801839198801E-2</v>
      </c>
      <c r="J97">
        <v>0.32555164939088499</v>
      </c>
      <c r="K97">
        <v>1.2796433372901201E-2</v>
      </c>
      <c r="L97">
        <v>0.28185278862674801</v>
      </c>
      <c r="M97">
        <v>2.5613805E-2</v>
      </c>
      <c r="N97">
        <v>0.26088461899999998</v>
      </c>
    </row>
    <row r="98" spans="1:15" x14ac:dyDescent="0.2">
      <c r="A98" t="s">
        <v>143</v>
      </c>
      <c r="B98" t="s">
        <v>8</v>
      </c>
      <c r="C98" t="s">
        <v>8</v>
      </c>
      <c r="D98" t="s">
        <v>8</v>
      </c>
      <c r="E98" t="s">
        <v>8</v>
      </c>
      <c r="F98" t="s">
        <v>8</v>
      </c>
      <c r="I98">
        <v>3.5603366999999997E-2</v>
      </c>
      <c r="J98">
        <v>6.1381219000000001E-2</v>
      </c>
      <c r="K98">
        <v>2.70229921011409E-2</v>
      </c>
      <c r="L98">
        <v>4.2403444317845301E-3</v>
      </c>
      <c r="M98">
        <v>3.5603366999999997E-2</v>
      </c>
      <c r="N98">
        <v>6.1381219000000001E-2</v>
      </c>
    </row>
    <row r="99" spans="1:15" x14ac:dyDescent="0.2">
      <c r="A99" t="s">
        <v>35</v>
      </c>
      <c r="B99">
        <v>4.7220163568528397</v>
      </c>
      <c r="C99">
        <v>0.13481468701676</v>
      </c>
      <c r="D99">
        <v>2016</v>
      </c>
      <c r="E99">
        <v>14</v>
      </c>
      <c r="F99">
        <v>18</v>
      </c>
      <c r="G99">
        <v>4.14028802879731E-2</v>
      </c>
      <c r="H99">
        <v>2.67595458519575E-2</v>
      </c>
      <c r="I99">
        <v>4.14028802879731E-2</v>
      </c>
      <c r="J99">
        <v>2.67595458519575E-2</v>
      </c>
      <c r="K99">
        <v>1.1496293320120801E-2</v>
      </c>
      <c r="L99">
        <v>0.180334677342116</v>
      </c>
      <c r="M99">
        <v>6.9552800000000003E-3</v>
      </c>
      <c r="N99">
        <v>0.71923722800000001</v>
      </c>
    </row>
    <row r="100" spans="1:15" x14ac:dyDescent="0.2">
      <c r="A100" t="s">
        <v>144</v>
      </c>
      <c r="B100" t="s">
        <v>8</v>
      </c>
      <c r="C100" t="s">
        <v>8</v>
      </c>
      <c r="D100" t="s">
        <v>8</v>
      </c>
      <c r="E100" t="s">
        <v>8</v>
      </c>
      <c r="F100" t="s">
        <v>8</v>
      </c>
      <c r="I100">
        <v>-5.8174560000000004E-3</v>
      </c>
      <c r="J100">
        <v>0.62784671700000005</v>
      </c>
      <c r="K100">
        <v>-5.6982282422337804E-3</v>
      </c>
      <c r="L100">
        <v>0.50448281761456504</v>
      </c>
      <c r="M100">
        <v>-5.8174560000000004E-3</v>
      </c>
      <c r="N100">
        <v>0.62784671700000005</v>
      </c>
    </row>
    <row r="101" spans="1:15" x14ac:dyDescent="0.2">
      <c r="A101" t="s">
        <v>146</v>
      </c>
      <c r="B101" t="s">
        <v>8</v>
      </c>
      <c r="C101" t="s">
        <v>8</v>
      </c>
      <c r="D101" t="s">
        <v>8</v>
      </c>
      <c r="E101" t="s">
        <v>8</v>
      </c>
      <c r="F101" t="s">
        <v>8</v>
      </c>
      <c r="I101">
        <v>2.6482929999999999E-3</v>
      </c>
      <c r="J101">
        <v>0.95204156699999998</v>
      </c>
      <c r="K101">
        <v>-2.46456242917716E-3</v>
      </c>
      <c r="L101">
        <v>0.91364075680704404</v>
      </c>
      <c r="M101">
        <v>2.6482929999999999E-3</v>
      </c>
      <c r="N101">
        <v>0.95204156699999998</v>
      </c>
    </row>
    <row r="102" spans="1:15" x14ac:dyDescent="0.2">
      <c r="A102" t="s">
        <v>147</v>
      </c>
      <c r="B102" t="s">
        <v>8</v>
      </c>
      <c r="C102" t="s">
        <v>8</v>
      </c>
      <c r="D102" t="s">
        <v>8</v>
      </c>
      <c r="E102" t="s">
        <v>8</v>
      </c>
      <c r="F102" t="s">
        <v>8</v>
      </c>
      <c r="I102">
        <v>-1.8783286E-2</v>
      </c>
      <c r="J102">
        <v>0.32243623900000001</v>
      </c>
      <c r="K102">
        <v>-5.8683400421024297E-3</v>
      </c>
      <c r="L102">
        <v>0.441599123881255</v>
      </c>
      <c r="M102">
        <v>-1.8783286E-2</v>
      </c>
      <c r="N102">
        <v>0.32243623900000001</v>
      </c>
    </row>
    <row r="103" spans="1:15" x14ac:dyDescent="0.2">
      <c r="A103" t="s">
        <v>148</v>
      </c>
      <c r="B103" t="s">
        <v>8</v>
      </c>
      <c r="C103" t="s">
        <v>8</v>
      </c>
      <c r="D103" t="s">
        <v>8</v>
      </c>
      <c r="E103" t="s">
        <v>8</v>
      </c>
      <c r="F103" t="s">
        <v>8</v>
      </c>
      <c r="I103">
        <v>1.0198390999999999E-2</v>
      </c>
      <c r="J103">
        <v>0.51799234999999999</v>
      </c>
      <c r="K103">
        <v>2.72278622245937E-2</v>
      </c>
      <c r="L103">
        <v>6.0459978281733398E-2</v>
      </c>
      <c r="M103">
        <v>1.0198390999999999E-2</v>
      </c>
      <c r="N103">
        <v>0.51799234999999999</v>
      </c>
    </row>
    <row r="104" spans="1:15" x14ac:dyDescent="0.2">
      <c r="A104" t="s">
        <v>36</v>
      </c>
      <c r="B104">
        <v>2.0960355934256998</v>
      </c>
      <c r="C104">
        <v>0.25096618068778598</v>
      </c>
      <c r="D104">
        <v>2002</v>
      </c>
      <c r="E104">
        <v>14</v>
      </c>
      <c r="F104">
        <v>10</v>
      </c>
      <c r="G104">
        <v>0.131530653836712</v>
      </c>
      <c r="H104" s="1">
        <v>7.2259344870398605E-8</v>
      </c>
      <c r="I104">
        <v>0.131530653836712</v>
      </c>
      <c r="J104" s="1">
        <v>7.2259344870398605E-8</v>
      </c>
      <c r="K104">
        <v>3.8683246119870597E-2</v>
      </c>
      <c r="L104" s="1">
        <v>1.1779946376001999E-5</v>
      </c>
      <c r="M104">
        <v>-4.0796895E-2</v>
      </c>
      <c r="N104">
        <v>2.49638E-4</v>
      </c>
    </row>
    <row r="105" spans="1:15" x14ac:dyDescent="0.2">
      <c r="A105" t="s">
        <v>149</v>
      </c>
      <c r="B105" t="s">
        <v>8</v>
      </c>
      <c r="C105" t="s">
        <v>8</v>
      </c>
      <c r="D105" t="s">
        <v>8</v>
      </c>
      <c r="E105" t="s">
        <v>8</v>
      </c>
      <c r="F105" t="s">
        <v>8</v>
      </c>
      <c r="I105">
        <v>9.1471050999999998E-2</v>
      </c>
      <c r="J105" s="1">
        <v>6.3676249705166202E-6</v>
      </c>
      <c r="K105">
        <v>6.7703459239924602E-2</v>
      </c>
      <c r="L105" s="1">
        <v>3.8354665369193803E-6</v>
      </c>
      <c r="M105">
        <v>9.1471050999999998E-2</v>
      </c>
      <c r="N105" s="1">
        <v>6.3676249705166202E-6</v>
      </c>
      <c r="O105" s="1"/>
    </row>
    <row r="106" spans="1:15" x14ac:dyDescent="0.2">
      <c r="A106" t="s">
        <v>37</v>
      </c>
      <c r="B106">
        <v>4.59496656446741</v>
      </c>
      <c r="C106">
        <v>4.6280182587296902E-2</v>
      </c>
      <c r="D106">
        <v>2015</v>
      </c>
      <c r="E106">
        <v>14</v>
      </c>
      <c r="F106">
        <v>10</v>
      </c>
      <c r="G106">
        <v>4.3124864998968802E-2</v>
      </c>
      <c r="H106">
        <v>0.55896346144895503</v>
      </c>
      <c r="I106">
        <v>4.3124864998968802E-2</v>
      </c>
      <c r="J106">
        <v>0.55896346144895503</v>
      </c>
      <c r="K106">
        <v>1.2665413276627801E-3</v>
      </c>
      <c r="L106">
        <v>0.94967954444589298</v>
      </c>
      <c r="M106">
        <v>8.3388042999999995E-2</v>
      </c>
      <c r="N106">
        <v>2.6362773999999999E-2</v>
      </c>
    </row>
    <row r="107" spans="1:15" x14ac:dyDescent="0.2">
      <c r="A107" t="s">
        <v>150</v>
      </c>
      <c r="I107">
        <v>2.022973E-3</v>
      </c>
      <c r="J107">
        <v>0.96276451100000005</v>
      </c>
      <c r="K107">
        <v>-5.6370171918328302E-3</v>
      </c>
      <c r="L107">
        <v>0.85466377103629398</v>
      </c>
      <c r="M107">
        <v>2.022973E-3</v>
      </c>
      <c r="N107">
        <v>0.96276451100000005</v>
      </c>
    </row>
    <row r="108" spans="1:15" x14ac:dyDescent="0.2">
      <c r="A108" t="s">
        <v>151</v>
      </c>
      <c r="I108">
        <v>-1.5205866E-2</v>
      </c>
      <c r="J108">
        <v>0.20134044700000001</v>
      </c>
      <c r="K108">
        <v>-1.44985658785583E-2</v>
      </c>
      <c r="L108">
        <v>0.16747074695893099</v>
      </c>
      <c r="M108">
        <v>-1.5205866E-2</v>
      </c>
      <c r="N108">
        <v>0.20134044700000001</v>
      </c>
    </row>
    <row r="109" spans="1:15" x14ac:dyDescent="0.2">
      <c r="A109" t="s">
        <v>152</v>
      </c>
      <c r="I109">
        <v>5.1101800000000002E-4</v>
      </c>
      <c r="J109">
        <v>0.95810936499999999</v>
      </c>
      <c r="K109">
        <v>1.7119499845751E-3</v>
      </c>
      <c r="L109">
        <v>0.84381884225391601</v>
      </c>
      <c r="M109">
        <v>5.1101800000000002E-4</v>
      </c>
      <c r="N109">
        <v>0.95810936499999999</v>
      </c>
    </row>
    <row r="120" spans="1:15" x14ac:dyDescent="0.2">
      <c r="A120" t="s">
        <v>121</v>
      </c>
      <c r="B120" t="s">
        <v>8</v>
      </c>
      <c r="C120" t="s">
        <v>8</v>
      </c>
      <c r="D120" t="s">
        <v>8</v>
      </c>
      <c r="E120" t="s">
        <v>8</v>
      </c>
      <c r="F120" t="s">
        <v>8</v>
      </c>
      <c r="I120">
        <v>-7.683853E-3</v>
      </c>
      <c r="J120">
        <v>0.69620391999999998</v>
      </c>
      <c r="K120">
        <v>2.1560971437973701E-2</v>
      </c>
      <c r="L120">
        <v>7.4066622060603701E-2</v>
      </c>
      <c r="M120">
        <v>-7.683853E-3</v>
      </c>
      <c r="N120">
        <v>0.69620391999999998</v>
      </c>
    </row>
    <row r="121" spans="1:15" x14ac:dyDescent="0.2">
      <c r="A121" t="s">
        <v>145</v>
      </c>
      <c r="B121" t="s">
        <v>8</v>
      </c>
      <c r="C121" t="s">
        <v>8</v>
      </c>
      <c r="D121" t="s">
        <v>8</v>
      </c>
      <c r="E121" t="s">
        <v>8</v>
      </c>
      <c r="F121" t="s">
        <v>8</v>
      </c>
      <c r="I121">
        <v>6.8058439999999998E-2</v>
      </c>
      <c r="J121" s="1">
        <v>6.0449343276702301E-6</v>
      </c>
      <c r="K121">
        <v>3.7686031911243902E-2</v>
      </c>
      <c r="L121">
        <v>2.1004348291271501E-4</v>
      </c>
      <c r="M121">
        <v>6.8058439999999998E-2</v>
      </c>
      <c r="N121" s="1">
        <v>6.0449343276702301E-6</v>
      </c>
      <c r="O1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outcome_temp_TA_conversed23_aft</vt:lpstr>
      <vt:lpstr>direct TRS_TA_conversion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waing wang</dc:creator>
  <cp:lastModifiedBy>waing wang</cp:lastModifiedBy>
  <dcterms:created xsi:type="dcterms:W3CDTF">2025-11-21T11:24:02Z</dcterms:created>
  <dcterms:modified xsi:type="dcterms:W3CDTF">2025-12-23T10:05:55Z</dcterms:modified>
</cp:coreProperties>
</file>